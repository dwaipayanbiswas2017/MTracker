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" sheetId="1" r:id="rId5"/>
    <sheet state="visible" name="MAR" sheetId="2" r:id="rId6"/>
    <sheet state="visible" name="APR" sheetId="3" r:id="rId7"/>
    <sheet state="visible" name="MAY" sheetId="4" r:id="rId8"/>
    <sheet state="visible" name="JUN" sheetId="5" r:id="rId9"/>
    <sheet state="visible" name="JUL" sheetId="6" r:id="rId10"/>
    <sheet state="visible" name="AUG" sheetId="7" r:id="rId11"/>
    <sheet state="visible" name="SEP" sheetId="8" r:id="rId12"/>
    <sheet state="visible" name="OCT" sheetId="9" r:id="rId13"/>
    <sheet state="visible" name="NOV" sheetId="10" r:id="rId14"/>
    <sheet state="visible" name="DEC" sheetId="11" r:id="rId15"/>
    <sheet state="visible" name="JAN23" sheetId="12" r:id="rId16"/>
    <sheet state="visible" name="FEB23" sheetId="13" r:id="rId17"/>
    <sheet state="visible" name="MAR23" sheetId="14" r:id="rId18"/>
    <sheet state="visible" name="APR23" sheetId="15" r:id="rId19"/>
    <sheet state="visible" name="MAY23" sheetId="16" r:id="rId20"/>
    <sheet state="visible" name="JUN23" sheetId="17" r:id="rId21"/>
    <sheet state="visible" name="JUL23" sheetId="18" r:id="rId22"/>
    <sheet state="visible" name="AUG23" sheetId="19" r:id="rId23"/>
    <sheet state="visible" name="SEP23" sheetId="20" r:id="rId24"/>
    <sheet state="visible" name="OCT23" sheetId="21" r:id="rId25"/>
    <sheet state="visible" name="DEC23" sheetId="22" r:id="rId26"/>
    <sheet state="visible" name="JAN-24" sheetId="23" r:id="rId27"/>
    <sheet state="visible" name="FEB-24" sheetId="24" r:id="rId28"/>
    <sheet state="visible" name="MAR-24" sheetId="25" r:id="rId29"/>
    <sheet state="visible" name="APR-24" sheetId="26" r:id="rId30"/>
    <sheet state="visible" name="MAY-24" sheetId="27" r:id="rId31"/>
    <sheet state="visible" name="JUN-24" sheetId="28" r:id="rId32"/>
    <sheet state="visible" name="JUL-24" sheetId="29" r:id="rId33"/>
    <sheet state="visible" name="AUG-24" sheetId="30" r:id="rId34"/>
    <sheet state="visible" name="SEP-24" sheetId="31" r:id="rId35"/>
    <sheet state="visible" name="OCT-24" sheetId="32" r:id="rId36"/>
    <sheet state="visible" name="NOV-24" sheetId="33" r:id="rId37"/>
    <sheet state="visible" name="DEC-24" sheetId="34" r:id="rId38"/>
    <sheet state="visible" name="JAN-25" sheetId="35" r:id="rId39"/>
    <sheet state="visible" name="FEB-25" sheetId="36" r:id="rId40"/>
    <sheet state="visible" name="MAR-25" sheetId="37" r:id="rId41"/>
    <sheet state="visible" name="APR-25" sheetId="38" r:id="rId42"/>
    <sheet state="visible" name="MAY-25" sheetId="39" r:id="rId43"/>
    <sheet state="visible" name="JUN-25" sheetId="40" r:id="rId44"/>
    <sheet state="visible" name="JUL-25" sheetId="41" r:id="rId45"/>
    <sheet state="visible" name="AUG-25" sheetId="42" r:id="rId46"/>
    <sheet state="visible" name="SEP-25" sheetId="43" r:id="rId47"/>
    <sheet state="visible" name="OCT-25" sheetId="44" r:id="rId48"/>
    <sheet state="visible" name="NOV-25" sheetId="45" r:id="rId49"/>
    <sheet state="visible" name="DEC-25" sheetId="46" r:id="rId50"/>
    <sheet state="visible" name="JAN-26" sheetId="47" r:id="rId51"/>
    <sheet state="visible" name="FEB-26" sheetId="48" r:id="rId52"/>
    <sheet state="visible" name="MAR-26" sheetId="49" r:id="rId53"/>
    <sheet state="visible" name="APR-26" sheetId="50" r:id="rId54"/>
    <sheet state="visible" name="MAY-26" sheetId="51" r:id="rId55"/>
    <sheet state="visible" name="JUN-26" sheetId="52" r:id="rId56"/>
    <sheet state="visible" name="JUL-26" sheetId="53" r:id="rId57"/>
    <sheet state="visible" name="TEMP" sheetId="54" r:id="rId58"/>
  </sheets>
  <definedNames>
    <definedName hidden="1" localSheetId="9" name="_xlnm._FilterDatabase">NOV!$A$39:$D$59</definedName>
    <definedName hidden="1" localSheetId="10" name="_xlnm._FilterDatabase">DEC!$A$33:$D$53</definedName>
    <definedName hidden="1" localSheetId="9" name="Z_BE2622E5_CA07_4EC6_8FF3_0BD1A9F67841_.wvu.FilterData">NOV!$A$39:$D$58</definedName>
    <definedName hidden="1" localSheetId="10" name="Z_BE2622E5_CA07_4EC6_8FF3_0BD1A9F67841_.wvu.FilterData">DEC!$A$33:$D$52</definedName>
  </definedNames>
  <calcPr/>
  <customWorkbookViews>
    <customWorkbookView activeSheetId="0" maximized="1" windowHeight="0" windowWidth="0" guid="{BE2622E5-CA07-4EC6-8FF3-0BD1A9F67841}" name="Filter 1"/>
  </customWorkbookViews>
</workbook>
</file>

<file path=xl/sharedStrings.xml><?xml version="1.0" encoding="utf-8"?>
<sst xmlns="http://schemas.openxmlformats.org/spreadsheetml/2006/main" count="5096" uniqueCount="471">
  <si>
    <t>TOTAL EXPENSE LIST</t>
  </si>
  <si>
    <t>AVAILABLE FROM PREVIOUS MONTH:</t>
  </si>
  <si>
    <t>PAYMENT REASON</t>
  </si>
  <si>
    <t>PAYMENT CATEGORY</t>
  </si>
  <si>
    <t>DATE</t>
  </si>
  <si>
    <t>PAYMENT AMOUNT</t>
  </si>
  <si>
    <t>INCOME IN CURRENT MONTH:</t>
  </si>
  <si>
    <t>Maa</t>
  </si>
  <si>
    <t>EMI</t>
  </si>
  <si>
    <t>INTEREST EARN</t>
  </si>
  <si>
    <t>SIP</t>
  </si>
  <si>
    <t>INVEST</t>
  </si>
  <si>
    <t>MOBILE</t>
  </si>
  <si>
    <t>TOTAL AVAILABLE:</t>
  </si>
  <si>
    <t>AC</t>
  </si>
  <si>
    <t>ARGHYA</t>
  </si>
  <si>
    <t>AVAILABLE BALANCE:</t>
  </si>
  <si>
    <t>SMALL PARTY (MOGLAI)</t>
  </si>
  <si>
    <t>PARTY</t>
  </si>
  <si>
    <t>EYE</t>
  </si>
  <si>
    <t>MEDICAL</t>
  </si>
  <si>
    <t>BABA</t>
  </si>
  <si>
    <t>FD</t>
  </si>
  <si>
    <t>ELECTRIC BILL</t>
  </si>
  <si>
    <t>BILL</t>
  </si>
  <si>
    <t>Mobile Recharge (8653640704)</t>
  </si>
  <si>
    <t>MOBILE BILL</t>
  </si>
  <si>
    <t>Hot Gel Pad</t>
  </si>
  <si>
    <t>Rini</t>
  </si>
  <si>
    <t>Mobile Recharge (8617414770)</t>
  </si>
  <si>
    <t>Mobile Recharge (9434825579)</t>
  </si>
  <si>
    <t>Mobile Recharge (9333818130)</t>
  </si>
  <si>
    <t>Mobile Recharge (8918405876)</t>
  </si>
  <si>
    <t>Thesis Project expense</t>
  </si>
  <si>
    <t>EDUCATION</t>
  </si>
  <si>
    <t>WIFI</t>
  </si>
  <si>
    <t>Mobile Recharge (6296963476)</t>
  </si>
  <si>
    <t>TOTAL EXPENSE</t>
  </si>
  <si>
    <t>PENDING</t>
  </si>
  <si>
    <t>PENDING EXPENSE</t>
  </si>
  <si>
    <t>Savings add</t>
  </si>
  <si>
    <t>Arghya (Trade mil &amp; screen)</t>
  </si>
  <si>
    <t>Ticket Pending</t>
  </si>
  <si>
    <t>Arghya (Scooty)</t>
  </si>
  <si>
    <t>Electric bill</t>
  </si>
  <si>
    <t>Expected Avail. Bal:</t>
  </si>
  <si>
    <t>INVESTMENT</t>
  </si>
  <si>
    <t>Cook</t>
  </si>
  <si>
    <t>FAMILY</t>
  </si>
  <si>
    <t>iAloy HW</t>
  </si>
  <si>
    <t>PROJECT</t>
  </si>
  <si>
    <t>Cash</t>
  </si>
  <si>
    <t>PERSONAL</t>
  </si>
  <si>
    <t>BERHAMPORE TRIP</t>
  </si>
  <si>
    <t>Mobile Recharge (9046266900)</t>
  </si>
  <si>
    <t>Train ticket(knj-bpc)</t>
  </si>
  <si>
    <t>D</t>
  </si>
  <si>
    <t>Train ticket(bpc-knj)</t>
  </si>
  <si>
    <t>Lunch</t>
  </si>
  <si>
    <t>A</t>
  </si>
  <si>
    <t>WiFi</t>
  </si>
  <si>
    <t>Dinner</t>
  </si>
  <si>
    <t>Train Ticket(Puri)</t>
  </si>
  <si>
    <t>Toto night</t>
  </si>
  <si>
    <t>Arghya</t>
  </si>
  <si>
    <t>Train Ticket(BPC)</t>
  </si>
  <si>
    <t>Berhampore</t>
  </si>
  <si>
    <t>Canteene</t>
  </si>
  <si>
    <t>Hotpot</t>
  </si>
  <si>
    <t>Guest room</t>
  </si>
  <si>
    <t>Table Fan</t>
  </si>
  <si>
    <t>Blue wave</t>
  </si>
  <si>
    <t>HotStar recharge</t>
  </si>
  <si>
    <t>TOTAL</t>
  </si>
  <si>
    <t>Electronics</t>
  </si>
  <si>
    <t>TECH</t>
  </si>
  <si>
    <t>Interest Earn</t>
  </si>
  <si>
    <t>Fan</t>
  </si>
  <si>
    <t>Damma medicine</t>
  </si>
  <si>
    <t>MAA</t>
  </si>
  <si>
    <t>In Hand</t>
  </si>
  <si>
    <t>Shopping</t>
  </si>
  <si>
    <t>HeadPhone</t>
  </si>
  <si>
    <t xml:space="preserve">Light </t>
  </si>
  <si>
    <t>Medical form fillup</t>
  </si>
  <si>
    <t>RINI</t>
  </si>
  <si>
    <t>Misc.</t>
  </si>
  <si>
    <t>Arghya (Screen)</t>
  </si>
  <si>
    <t>Rini Unacademy</t>
  </si>
  <si>
    <t>Bangalore</t>
  </si>
  <si>
    <t>HOME RENT</t>
  </si>
  <si>
    <t>Extra SIP</t>
  </si>
  <si>
    <t>TEMP</t>
  </si>
  <si>
    <t>Mother's Hut</t>
  </si>
  <si>
    <t>SOCIAL</t>
  </si>
  <si>
    <t>Misc</t>
  </si>
  <si>
    <t>Mobile recharge(8918405876)</t>
  </si>
  <si>
    <t>Mobile recharge(8653640704)</t>
  </si>
  <si>
    <t>Mobile recharge(9434825579)</t>
  </si>
  <si>
    <t>Cinema</t>
  </si>
  <si>
    <t>Conference</t>
  </si>
  <si>
    <t>Water Purifier</t>
  </si>
  <si>
    <t>Rini HS Review</t>
  </si>
  <si>
    <t>Mislenous</t>
  </si>
  <si>
    <t>MOBILE RECHARGE</t>
  </si>
  <si>
    <t>SSD</t>
  </si>
  <si>
    <t>KAKA</t>
  </si>
  <si>
    <t>EXP AVAILABLE BALANCE:</t>
  </si>
  <si>
    <t>CASH</t>
  </si>
  <si>
    <t>Arghya (Flight)</t>
  </si>
  <si>
    <t>Kurukshetra</t>
  </si>
  <si>
    <t>Pujo</t>
  </si>
  <si>
    <t>PUJO</t>
  </si>
  <si>
    <t>Chawala</t>
  </si>
  <si>
    <t>CURRENT AVAILABLE BALANCE:</t>
  </si>
  <si>
    <t>Flat rent</t>
  </si>
  <si>
    <t>BANGALORE</t>
  </si>
  <si>
    <t>EXPECTED AVAILABLE BALANCE:</t>
  </si>
  <si>
    <t>Karkhana repair</t>
  </si>
  <si>
    <t>HOME</t>
  </si>
  <si>
    <t>Mobile recharge(9333818130)</t>
  </si>
  <si>
    <t>Flight Booking</t>
  </si>
  <si>
    <t>Jeevansathi.com</t>
  </si>
  <si>
    <t>SUBSCRIPTION</t>
  </si>
  <si>
    <t>Foldable wordrobe</t>
  </si>
  <si>
    <t>Fuchka</t>
  </si>
  <si>
    <t>Cha Khor</t>
  </si>
  <si>
    <t>Mobile recharge(9046266900)</t>
  </si>
  <si>
    <t>Extra Paytm</t>
  </si>
  <si>
    <t>Technical expenses</t>
  </si>
  <si>
    <t>TECHNICAL</t>
  </si>
  <si>
    <t>Kaka</t>
  </si>
  <si>
    <t>SIP (KAKA)</t>
  </si>
  <si>
    <t>TV</t>
  </si>
  <si>
    <t>Gold loan</t>
  </si>
  <si>
    <t>Unacademy</t>
  </si>
  <si>
    <t>Arghya (Setup)</t>
  </si>
  <si>
    <t>PW-Rini</t>
  </si>
  <si>
    <t>Ice-Cream</t>
  </si>
  <si>
    <t>UTI-SIP</t>
  </si>
  <si>
    <t>SAVINGS</t>
  </si>
  <si>
    <t>Return from KAKA</t>
  </si>
  <si>
    <t>SIP-KAKA</t>
  </si>
  <si>
    <t>Jogodhatri Pujo</t>
  </si>
  <si>
    <t>Transfered to Joint A/C</t>
  </si>
  <si>
    <t>Kali Pujo</t>
  </si>
  <si>
    <t>Electricity</t>
  </si>
  <si>
    <t>Pujo Expense estimate</t>
  </si>
  <si>
    <t>Mobile (EMI)</t>
  </si>
  <si>
    <t>PUJO EXPENSES</t>
  </si>
  <si>
    <t>Social</t>
  </si>
  <si>
    <t>Sajh advance</t>
  </si>
  <si>
    <t>Mobile Recharge(7908760756)</t>
  </si>
  <si>
    <t>Electrical expenses</t>
  </si>
  <si>
    <t>Mobile Recharge(8653640704)</t>
  </si>
  <si>
    <t>Mobile Recharge(9333818130)</t>
  </si>
  <si>
    <t>Paytm</t>
  </si>
  <si>
    <t>Flight Bangalore</t>
  </si>
  <si>
    <t>TRAVEL</t>
  </si>
  <si>
    <t>Train KNJ_SDAH</t>
  </si>
  <si>
    <t>Barir Kaj</t>
  </si>
  <si>
    <t>Transfer to PayTM</t>
  </si>
  <si>
    <t>Total Pujo Expenses</t>
  </si>
  <si>
    <t>Chowmin</t>
  </si>
  <si>
    <t>Remaining in Hand</t>
  </si>
  <si>
    <t>BhaiPhota gift</t>
  </si>
  <si>
    <t>Food &amp; Icecream</t>
  </si>
  <si>
    <t>Mislenious</t>
  </si>
  <si>
    <t>Arghya (EMI Chair)</t>
  </si>
  <si>
    <t>NLC Return</t>
  </si>
  <si>
    <t>MAA (UCO)</t>
  </si>
  <si>
    <t>FlipKart Paylater</t>
  </si>
  <si>
    <t>PURCHASE</t>
  </si>
  <si>
    <t>Pujo amount</t>
  </si>
  <si>
    <t>Pujo Shopping</t>
  </si>
  <si>
    <t>Puchu Birthday</t>
  </si>
  <si>
    <t>JOGODHATRI PUJO EXPENSES</t>
  </si>
  <si>
    <t>INSTANT</t>
  </si>
  <si>
    <t>Sajh advance (Chota)</t>
  </si>
  <si>
    <t>Flat electricity</t>
  </si>
  <si>
    <t>Thakur</t>
  </si>
  <si>
    <t>Puri Trip</t>
  </si>
  <si>
    <t>Misclenious</t>
  </si>
  <si>
    <t>Personal</t>
  </si>
  <si>
    <t>Bangalore Train</t>
  </si>
  <si>
    <t>Office Expense</t>
  </si>
  <si>
    <t>USB-C to HDMI adapter</t>
  </si>
  <si>
    <t>Technical Expenses</t>
  </si>
  <si>
    <t>Mobile Recharge (Rini)</t>
  </si>
  <si>
    <t>New Year Party</t>
  </si>
  <si>
    <t>Barasat Matrimony</t>
  </si>
  <si>
    <t>Fridge EMI</t>
  </si>
  <si>
    <t>Arghya (EMI Scooty)</t>
  </si>
  <si>
    <t>Arghya (EMI Friedge)</t>
  </si>
  <si>
    <t>Web Server</t>
  </si>
  <si>
    <t>Mobile recharge</t>
  </si>
  <si>
    <t xml:space="preserve">UCO Bank </t>
  </si>
  <si>
    <t>Water</t>
  </si>
  <si>
    <t>WATER</t>
  </si>
  <si>
    <t>CC Bill (AXIS)</t>
  </si>
  <si>
    <t>CC</t>
  </si>
  <si>
    <t>CC Bill (SBI)</t>
  </si>
  <si>
    <t>online</t>
  </si>
  <si>
    <t>cash</t>
  </si>
  <si>
    <t xml:space="preserve">Kaka </t>
  </si>
  <si>
    <t>Temp</t>
  </si>
  <si>
    <t>Savings</t>
  </si>
  <si>
    <t>Flight ticket EMI</t>
  </si>
  <si>
    <t xml:space="preserve">Doctor </t>
  </si>
  <si>
    <t xml:space="preserve">MEDICAL </t>
  </si>
  <si>
    <t xml:space="preserve">cash </t>
  </si>
  <si>
    <t>Mobile Recharge(8617414770)</t>
  </si>
  <si>
    <t>marketting</t>
  </si>
  <si>
    <t>maa</t>
  </si>
  <si>
    <t>Color Code</t>
  </si>
  <si>
    <t>Category</t>
  </si>
  <si>
    <t>Bills</t>
  </si>
  <si>
    <t>UNPLANNED</t>
  </si>
  <si>
    <t>Clz trip</t>
  </si>
  <si>
    <t>Mobile Recharge (7908760756)</t>
  </si>
  <si>
    <t>GCETTB medical donation</t>
  </si>
  <si>
    <t>Flight ticket [KAKA] (EMI)</t>
  </si>
  <si>
    <t>Train Ticket</t>
  </si>
  <si>
    <t>Mobile recharge (baba jio)</t>
  </si>
  <si>
    <t>PMJJBY RENEWAL</t>
  </si>
  <si>
    <t>MISLENIOUS</t>
  </si>
  <si>
    <t>Clz Fest Contribution</t>
  </si>
  <si>
    <t>Bangalore WiFi</t>
  </si>
  <si>
    <t>Mobile recharge (Maa airtel)</t>
  </si>
  <si>
    <t>Gas</t>
  </si>
  <si>
    <t>FoodBook recharge</t>
  </si>
  <si>
    <t>Mobile recharge (3)</t>
  </si>
  <si>
    <t>PayTm</t>
  </si>
  <si>
    <t>Inverse payment</t>
  </si>
  <si>
    <t>hybrid</t>
  </si>
  <si>
    <t>Interest</t>
  </si>
  <si>
    <t>Mobile recharge(Maa Jio)</t>
  </si>
  <si>
    <t>Medical Support</t>
  </si>
  <si>
    <t>paytm</t>
  </si>
  <si>
    <t>Paytm PostPaid recharge</t>
  </si>
  <si>
    <t>Mobile recharge(Baba Jio)</t>
  </si>
  <si>
    <t>Mobile recharge(Airtel)</t>
  </si>
  <si>
    <t>Mobile recharge(Maa Airtel)</t>
  </si>
  <si>
    <t>Grocery</t>
  </si>
  <si>
    <t>WiFi (Airtel)</t>
  </si>
  <si>
    <t>Mobile recharge(Jio)</t>
  </si>
  <si>
    <t>Mobile recharge(Rini)</t>
  </si>
  <si>
    <t>Sagnik Marriage</t>
  </si>
  <si>
    <t>Home Work</t>
  </si>
  <si>
    <t>Prem Birthday</t>
  </si>
  <si>
    <t>SpicyTable</t>
  </si>
  <si>
    <t>SpicyTable (Rishi)</t>
  </si>
  <si>
    <t>SpicyTable (Arghya)</t>
  </si>
  <si>
    <t>KAKA SIP</t>
  </si>
  <si>
    <t>Chicken</t>
  </si>
  <si>
    <t>Arghya TEMP</t>
  </si>
  <si>
    <t>Dinner 1st Jul</t>
  </si>
  <si>
    <t>BackUp</t>
  </si>
  <si>
    <t>WiFi recharge (Bangalore)</t>
  </si>
  <si>
    <t>T-Shirt</t>
  </si>
  <si>
    <t>Food</t>
  </si>
  <si>
    <t>Grocerry</t>
  </si>
  <si>
    <t>Saving</t>
  </si>
  <si>
    <t>ITR Payment</t>
  </si>
  <si>
    <t>CC Bill (RBL)</t>
  </si>
  <si>
    <t>ITR payment</t>
  </si>
  <si>
    <t>Paytm PostPaid</t>
  </si>
  <si>
    <t>Donation</t>
  </si>
  <si>
    <t>Online</t>
  </si>
  <si>
    <t>Bills &amp; EMI</t>
  </si>
  <si>
    <t>SIP Temp</t>
  </si>
  <si>
    <t>FlipKart Postpaid Payment</t>
  </si>
  <si>
    <t>Mobile recharge (BABA Jio)</t>
  </si>
  <si>
    <t>Movie</t>
  </si>
  <si>
    <t>Jio recharge</t>
  </si>
  <si>
    <t>FoodBook</t>
  </si>
  <si>
    <t>Bari EMI</t>
  </si>
  <si>
    <t>Family</t>
  </si>
  <si>
    <t>Bappa Kaka</t>
  </si>
  <si>
    <t>Air Bed</t>
  </si>
  <si>
    <t>Ladder</t>
  </si>
  <si>
    <t>Medicine (tab + molysheet)</t>
  </si>
  <si>
    <t>Rent Mojo</t>
  </si>
  <si>
    <t>Rice</t>
  </si>
  <si>
    <t>Office Marriage</t>
  </si>
  <si>
    <t>Cab</t>
  </si>
  <si>
    <t>Kitchen Goods</t>
  </si>
  <si>
    <t>Techno India</t>
  </si>
  <si>
    <t>Reunion</t>
  </si>
  <si>
    <t>IceCream</t>
  </si>
  <si>
    <t>Kitchen Self</t>
  </si>
  <si>
    <t>Light Bulb</t>
  </si>
  <si>
    <t>MOBILE RECHARGE (Rini Jio)</t>
  </si>
  <si>
    <t>Medicine</t>
  </si>
  <si>
    <t>Aya Registration</t>
  </si>
  <si>
    <t>Ice cream</t>
  </si>
  <si>
    <t>Interest received</t>
  </si>
  <si>
    <t>INCOME</t>
  </si>
  <si>
    <t>MOBILE RECHARGE (Maa Airtel)</t>
  </si>
  <si>
    <t>CC Bill (SBI) [Repeat]</t>
  </si>
  <si>
    <t>MOBILE RECHARGE (Rini Airtel)</t>
  </si>
  <si>
    <t>PulseOxymeter + Oxygen</t>
  </si>
  <si>
    <t>Cash widrawl</t>
  </si>
  <si>
    <t>Train ticket</t>
  </si>
  <si>
    <t>Rni mess charge</t>
  </si>
  <si>
    <t>Babu Kaka</t>
  </si>
  <si>
    <t>Others</t>
  </si>
  <si>
    <t xml:space="preserve">Personal </t>
  </si>
  <si>
    <t>Damma</t>
  </si>
  <si>
    <t>Round Fig Balance</t>
  </si>
  <si>
    <t>Prasenjit Kaka</t>
  </si>
  <si>
    <t>Dammar Kaj</t>
  </si>
  <si>
    <t>Table Cloth</t>
  </si>
  <si>
    <t>Mitali Studio</t>
  </si>
  <si>
    <t>DalPuri</t>
  </si>
  <si>
    <t>Invest</t>
  </si>
  <si>
    <t>miscellaneous</t>
  </si>
  <si>
    <t>Mobile Recharge(8918405876)</t>
  </si>
  <si>
    <t>Mobile Recharge(KAKA)</t>
  </si>
  <si>
    <t>Medicine Shop</t>
  </si>
  <si>
    <t xml:space="preserve">Online </t>
  </si>
  <si>
    <t>Temp SIP</t>
  </si>
  <si>
    <t>Kolkata trip</t>
  </si>
  <si>
    <t>Laptop</t>
  </si>
  <si>
    <t>Flight Ticket</t>
  </si>
  <si>
    <t>Office</t>
  </si>
  <si>
    <t>Wifi</t>
  </si>
  <si>
    <t>Gift</t>
  </si>
  <si>
    <t>Sweets</t>
  </si>
  <si>
    <t>Marbel Palace</t>
  </si>
  <si>
    <t>Train(JamshedPur)</t>
  </si>
  <si>
    <t>Shirt</t>
  </si>
  <si>
    <t>Hair Spa</t>
  </si>
  <si>
    <t>Banagalore Expenses</t>
  </si>
  <si>
    <t>Tea</t>
  </si>
  <si>
    <t>Rini(Jio)</t>
  </si>
  <si>
    <t>Headphone</t>
  </si>
  <si>
    <t>Vegitables &amp; More</t>
  </si>
  <si>
    <t>Camera + Mem Chip</t>
  </si>
  <si>
    <t>Maa Airtel</t>
  </si>
  <si>
    <t>Food Book</t>
  </si>
  <si>
    <t>Card</t>
  </si>
  <si>
    <t>Marriage</t>
  </si>
  <si>
    <t>Lodge booking</t>
  </si>
  <si>
    <t>SBI Life PMJJBY</t>
  </si>
  <si>
    <t>Bangalore Journey</t>
  </si>
  <si>
    <t>Bangalore Expense</t>
  </si>
  <si>
    <t>Rini Formfillup</t>
  </si>
  <si>
    <t>Himadri</t>
  </si>
  <si>
    <t>Total</t>
  </si>
  <si>
    <t>Masi</t>
  </si>
  <si>
    <t>misc</t>
  </si>
  <si>
    <t xml:space="preserve">PERSONAL </t>
  </si>
  <si>
    <t>Jamshedpore</t>
  </si>
  <si>
    <t>Share Investment</t>
  </si>
  <si>
    <t>Mobile Recharge (Maa Jio)</t>
  </si>
  <si>
    <t>Mobile Recharge (Rini Jio)</t>
  </si>
  <si>
    <t>Rini Ornaments</t>
  </si>
  <si>
    <t>Bangalore expenses</t>
  </si>
  <si>
    <t>26-06-2024</t>
  </si>
  <si>
    <t>27-06-2024</t>
  </si>
  <si>
    <t>30-06-2024</t>
  </si>
  <si>
    <t>Mobile Recharge(Airtel Mine)</t>
  </si>
  <si>
    <t>Bangalore Expenses</t>
  </si>
  <si>
    <t>Type</t>
  </si>
  <si>
    <t>Date</t>
  </si>
  <si>
    <t>Amount</t>
  </si>
  <si>
    <t>Rapido</t>
  </si>
  <si>
    <t>CC Bill (HDFC)</t>
  </si>
  <si>
    <t>Refreshment</t>
  </si>
  <si>
    <t>Jio Cinema Subscription</t>
  </si>
  <si>
    <t>Fish</t>
  </si>
  <si>
    <t>Tax Filing payment</t>
  </si>
  <si>
    <t>Maa Diet</t>
  </si>
  <si>
    <t>Electronics &amp; goods</t>
  </si>
  <si>
    <t>Msc</t>
  </si>
  <si>
    <t>Mobile Recharge(Maa Jio)</t>
  </si>
  <si>
    <t>29-07-2024</t>
  </si>
  <si>
    <t>KAKA Flight EMI</t>
  </si>
  <si>
    <t>29-07-2025</t>
  </si>
  <si>
    <t>29-07-2026</t>
  </si>
  <si>
    <t>Rini watch</t>
  </si>
  <si>
    <t>29-07-2027</t>
  </si>
  <si>
    <t>Rini watch return</t>
  </si>
  <si>
    <t>29-07-2028</t>
  </si>
  <si>
    <t>29-07-2029</t>
  </si>
  <si>
    <t>29-07-2030</t>
  </si>
  <si>
    <t>29-07-2031</t>
  </si>
  <si>
    <t>29-07-2032</t>
  </si>
  <si>
    <t>29-07-2033</t>
  </si>
  <si>
    <t>27-06-2025</t>
  </si>
  <si>
    <t>27-06-2026</t>
  </si>
  <si>
    <t>27-06-2027</t>
  </si>
  <si>
    <t>Company Food</t>
  </si>
  <si>
    <t>27-06-2028</t>
  </si>
  <si>
    <t>SIP Kaka</t>
  </si>
  <si>
    <t>Baba Award</t>
  </si>
  <si>
    <t>Jio Cinema</t>
  </si>
  <si>
    <t xml:space="preserve">FAMILY </t>
  </si>
  <si>
    <t>Fish &amp; Meat</t>
  </si>
  <si>
    <t>Mobile Recharge</t>
  </si>
  <si>
    <t>Airport taxi</t>
  </si>
  <si>
    <t>Kaka Bari Paint</t>
  </si>
  <si>
    <t>Kaka Mobile EMI</t>
  </si>
  <si>
    <t xml:space="preserve"> </t>
  </si>
  <si>
    <t>Personal Expenses</t>
  </si>
  <si>
    <t>Personal Expense</t>
  </si>
  <si>
    <t>Camera (adv)</t>
  </si>
  <si>
    <t>MARRIAGE</t>
  </si>
  <si>
    <t>Card adv</t>
  </si>
  <si>
    <t>Jio cinema</t>
  </si>
  <si>
    <t>Shoe</t>
  </si>
  <si>
    <t>Band advance (marriage)</t>
  </si>
  <si>
    <t>Chichek &amp; Fish</t>
  </si>
  <si>
    <t>Biye</t>
  </si>
  <si>
    <t>Saraswati Pujo Donation</t>
  </si>
  <si>
    <t>CC Bill (AXIS-1)</t>
  </si>
  <si>
    <t>CC Bill (AXIS-2)</t>
  </si>
  <si>
    <t>Mobile Recharge(Rini Jio)</t>
  </si>
  <si>
    <t>Bangalore Wifi</t>
  </si>
  <si>
    <t>TEMP1</t>
  </si>
  <si>
    <t>Home EMI</t>
  </si>
  <si>
    <t>Chicken &amp; Fish</t>
  </si>
  <si>
    <t>Mobile Battery</t>
  </si>
  <si>
    <t>College</t>
  </si>
  <si>
    <t>Wifi (Home)</t>
  </si>
  <si>
    <t>Electricity (HOME)</t>
  </si>
  <si>
    <t>Electricity (FLAT)</t>
  </si>
  <si>
    <t>Hair Cream</t>
  </si>
  <si>
    <t>Rini Mobile</t>
  </si>
  <si>
    <t>Deep</t>
  </si>
  <si>
    <t>Sanjoy Kaka</t>
  </si>
  <si>
    <t>Bank</t>
  </si>
  <si>
    <t>AddaTimes</t>
  </si>
  <si>
    <t>MicroOven</t>
  </si>
  <si>
    <t>Rini GATE</t>
  </si>
  <si>
    <t>Vasanth Farewell</t>
  </si>
  <si>
    <t>Maa Mobile recharge</t>
  </si>
  <si>
    <t>Saloon</t>
  </si>
  <si>
    <t>Sandel</t>
  </si>
  <si>
    <t>Office Party</t>
  </si>
  <si>
    <t>Personal expenses</t>
  </si>
  <si>
    <t>Jogoddhatri Pujo (Chanda)</t>
  </si>
  <si>
    <t>Wash</t>
  </si>
  <si>
    <t>WiFi (Bangalore)</t>
  </si>
  <si>
    <t>Arka</t>
  </si>
  <si>
    <t>Train</t>
  </si>
  <si>
    <t>Rini clz payment</t>
  </si>
  <si>
    <t>ARKA</t>
  </si>
  <si>
    <t>House of Commons</t>
  </si>
  <si>
    <t>Cake</t>
  </si>
  <si>
    <t>USB cable</t>
  </si>
  <si>
    <t>Aniversery party</t>
  </si>
  <si>
    <t>Indranil Biye</t>
  </si>
  <si>
    <t>Office (Puja Wedding)</t>
  </si>
  <si>
    <t>Sidhu pishemosai</t>
  </si>
  <si>
    <t>Airport Taxy</t>
  </si>
  <si>
    <t>Maa CheckUp</t>
  </si>
  <si>
    <t>Ekata Tournament</t>
  </si>
  <si>
    <t>Groccery</t>
  </si>
  <si>
    <t>Rice &amp; Atta</t>
  </si>
  <si>
    <t>iAloy</t>
  </si>
  <si>
    <t>In hand</t>
  </si>
  <si>
    <t>SIPs</t>
  </si>
  <si>
    <t>Current</t>
  </si>
  <si>
    <t>Roni Biye</t>
  </si>
  <si>
    <t>Rini Biye</t>
  </si>
  <si>
    <t>bari</t>
  </si>
  <si>
    <t>Mediclaim</t>
  </si>
  <si>
    <t>lic</t>
  </si>
  <si>
    <t>IN 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</si>
</sst>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-dd-yyyy"/>
  </numFmts>
  <fonts count="29">
    <font>
      <sz val="11.0"/>
      <color theme="1"/>
      <name val="Calibri"/>
      <scheme val="minor"/>
    </font>
    <font>
      <b/>
      <sz val="22.0"/>
      <color theme="0"/>
      <name val="Calibri"/>
    </font>
    <font/>
    <font>
      <b/>
      <sz val="12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0"/>
      <name val="Calibri"/>
    </font>
    <font>
      <sz val="16.0"/>
      <color theme="0"/>
      <name val="Calibri"/>
    </font>
    <font>
      <b/>
      <sz val="26.0"/>
      <color theme="0"/>
      <name val="Calibri"/>
    </font>
    <font>
      <b/>
      <sz val="20.0"/>
      <color theme="0"/>
      <name val="Calibri"/>
    </font>
    <font>
      <sz val="14.0"/>
      <color theme="0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22.0"/>
      <color theme="0"/>
      <name val="Calibri"/>
    </font>
    <font>
      <color theme="0"/>
      <name val="Calibri"/>
      <scheme val="minor"/>
    </font>
    <font>
      <b/>
      <sz val="12.0"/>
      <color theme="1"/>
      <name val="Calibri"/>
      <scheme val="minor"/>
    </font>
    <font>
      <sz val="14.0"/>
      <color theme="1"/>
      <name val="Calibri"/>
      <scheme val="minor"/>
    </font>
    <font>
      <u/>
      <color rgb="FF1155CC"/>
    </font>
    <font>
      <b/>
      <sz val="14.0"/>
      <color rgb="FFFFFFFF"/>
      <name val="Calibri"/>
      <scheme val="minor"/>
    </font>
    <font>
      <b/>
      <sz val="15.0"/>
      <color rgb="FFFFFFFF"/>
      <name val="Calibri"/>
      <scheme val="minor"/>
    </font>
    <font>
      <color rgb="FFFFFFFF"/>
      <name val="Calibri"/>
      <scheme val="minor"/>
    </font>
    <font>
      <b/>
      <sz val="17.0"/>
      <color rgb="FFFFFFFF"/>
      <name val="Calibri"/>
      <scheme val="minor"/>
    </font>
    <font>
      <color rgb="FF000000"/>
      <name val="Calibri"/>
      <scheme val="minor"/>
    </font>
    <font>
      <sz val="9.0"/>
      <color rgb="FF000000"/>
      <name val="&quot;Google Sans Mono&quot;"/>
    </font>
    <font>
      <sz val="18.0"/>
      <color theme="1"/>
      <name val="Calibri"/>
      <scheme val="minor"/>
    </font>
    <font>
      <sz val="20.0"/>
      <color theme="0"/>
      <name val="Calibri"/>
    </font>
  </fonts>
  <fills count="33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0" fillId="0" fontId="5" numFmtId="0" xfId="0" applyAlignment="1" applyFont="1">
      <alignment horizontal="center"/>
    </xf>
    <xf borderId="4" fillId="4" fontId="5" numFmtId="0" xfId="0" applyBorder="1" applyFill="1" applyFont="1"/>
    <xf borderId="0" fillId="0" fontId="6" numFmtId="0" xfId="0" applyFont="1"/>
    <xf borderId="0" fillId="0" fontId="7" numFmtId="14" xfId="0" applyFont="1" applyNumberFormat="1"/>
    <xf borderId="0" fillId="0" fontId="8" numFmtId="0" xfId="0" applyFont="1"/>
    <xf borderId="4" fillId="5" fontId="8" numFmtId="0" xfId="0" applyBorder="1" applyFill="1" applyFont="1"/>
    <xf borderId="4" fillId="6" fontId="9" numFmtId="0" xfId="0" applyAlignment="1" applyBorder="1" applyFill="1" applyFont="1">
      <alignment horizontal="center"/>
    </xf>
    <xf borderId="4" fillId="7" fontId="9" numFmtId="0" xfId="0" applyBorder="1" applyFill="1" applyFont="1"/>
    <xf borderId="0" fillId="0" fontId="6" numFmtId="0" xfId="0" applyAlignment="1" applyFont="1">
      <alignment readingOrder="0"/>
    </xf>
    <xf borderId="4" fillId="2" fontId="10" numFmtId="0" xfId="0" applyBorder="1" applyFont="1"/>
    <xf borderId="5" fillId="2" fontId="11" numFmtId="0" xfId="0" applyBorder="1" applyFont="1"/>
    <xf borderId="1" fillId="8" fontId="12" numFmtId="0" xfId="0" applyAlignment="1" applyBorder="1" applyFill="1" applyFont="1">
      <alignment horizontal="center"/>
    </xf>
    <xf borderId="4" fillId="8" fontId="13" numFmtId="0" xfId="0" applyBorder="1" applyFont="1"/>
    <xf borderId="5" fillId="8" fontId="1" numFmtId="0" xfId="0" applyBorder="1" applyFont="1"/>
    <xf borderId="4" fillId="3" fontId="4" numFmtId="0" xfId="0" applyAlignment="1" applyBorder="1" applyFont="1">
      <alignment horizontal="right"/>
    </xf>
    <xf borderId="4" fillId="4" fontId="5" numFmtId="0" xfId="0" applyAlignment="1" applyBorder="1" applyFont="1">
      <alignment horizontal="right"/>
    </xf>
    <xf borderId="0" fillId="0" fontId="14" numFmtId="0" xfId="0" applyAlignment="1" applyFont="1">
      <alignment readingOrder="0"/>
    </xf>
    <xf borderId="4" fillId="6" fontId="9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4" fillId="7" fontId="9" numFmtId="0" xfId="0" applyAlignment="1" applyBorder="1" applyFont="1">
      <alignment horizontal="right"/>
    </xf>
    <xf borderId="0" fillId="4" fontId="1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 vertical="center"/>
    </xf>
    <xf borderId="5" fillId="2" fontId="16" numFmtId="0" xfId="0" applyBorder="1" applyFont="1"/>
    <xf borderId="0" fillId="6" fontId="17" numFmtId="0" xfId="0" applyFont="1"/>
    <xf borderId="4" fillId="4" fontId="5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4" fillId="8" fontId="9" numFmtId="0" xfId="0" applyBorder="1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4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4" fillId="9" fontId="9" numFmtId="0" xfId="0" applyBorder="1" applyFill="1" applyFont="1"/>
    <xf borderId="4" fillId="3" fontId="4" numFmtId="0" xfId="0" applyAlignment="1" applyBorder="1" applyFont="1">
      <alignment readingOrder="0"/>
    </xf>
    <xf borderId="0" fillId="0" fontId="6" numFmtId="14" xfId="0" applyFont="1" applyNumberFormat="1"/>
    <xf borderId="0" fillId="0" fontId="2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10" fontId="21" numFmtId="0" xfId="0" applyAlignment="1" applyFill="1" applyFont="1">
      <alignment readingOrder="0"/>
    </xf>
    <xf borderId="0" fillId="11" fontId="6" numFmtId="0" xfId="0" applyAlignment="1" applyFill="1" applyFont="1">
      <alignment readingOrder="0"/>
    </xf>
    <xf borderId="0" fillId="11" fontId="6" numFmtId="14" xfId="0" applyFont="1" applyNumberFormat="1"/>
    <xf borderId="0" fillId="11" fontId="6" numFmtId="0" xfId="0" applyFont="1"/>
    <xf borderId="0" fillId="0" fontId="18" numFmtId="0" xfId="0" applyFont="1"/>
    <xf borderId="0" fillId="0" fontId="6" numFmtId="14" xfId="0" applyAlignment="1" applyFont="1" applyNumberFormat="1">
      <alignment readingOrder="0"/>
    </xf>
    <xf borderId="0" fillId="12" fontId="6" numFmtId="0" xfId="0" applyAlignment="1" applyFill="1" applyFont="1">
      <alignment readingOrder="0"/>
    </xf>
    <xf borderId="0" fillId="12" fontId="6" numFmtId="14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9" fontId="22" numFmtId="0" xfId="0" applyFont="1"/>
    <xf borderId="0" fillId="2" fontId="16" numFmtId="0" xfId="0" applyFont="1"/>
    <xf borderId="0" fillId="8" fontId="12" numFmtId="0" xfId="0" applyAlignment="1" applyFont="1">
      <alignment horizontal="center"/>
    </xf>
    <xf borderId="0" fillId="8" fontId="1" numFmtId="0" xfId="0" applyFont="1"/>
    <xf borderId="6" fillId="13" fontId="21" numFmtId="0" xfId="0" applyAlignment="1" applyBorder="1" applyFill="1" applyFont="1">
      <alignment horizontal="center" readingOrder="0"/>
    </xf>
    <xf borderId="0" fillId="14" fontId="6" numFmtId="0" xfId="0" applyFill="1" applyFont="1"/>
    <xf borderId="0" fillId="14" fontId="7" numFmtId="14" xfId="0" applyAlignment="1" applyFont="1" applyNumberFormat="1">
      <alignment readingOrder="0"/>
    </xf>
    <xf borderId="0" fillId="14" fontId="6" numFmtId="0" xfId="0" applyAlignment="1" applyFont="1">
      <alignment readingOrder="0"/>
    </xf>
    <xf borderId="6" fillId="14" fontId="19" numFmtId="0" xfId="0" applyAlignment="1" applyBorder="1" applyFont="1">
      <alignment readingOrder="0"/>
    </xf>
    <xf borderId="6" fillId="0" fontId="19" numFmtId="0" xfId="0" applyAlignment="1" applyBorder="1" applyFont="1">
      <alignment readingOrder="0"/>
    </xf>
    <xf borderId="0" fillId="14" fontId="7" numFmtId="0" xfId="0" applyAlignment="1" applyFont="1">
      <alignment horizontal="right" readingOrder="0" vertical="bottom"/>
    </xf>
    <xf borderId="6" fillId="15" fontId="19" numFmtId="0" xfId="0" applyAlignment="1" applyBorder="1" applyFill="1" applyFont="1">
      <alignment readingOrder="0"/>
    </xf>
    <xf borderId="6" fillId="16" fontId="19" numFmtId="0" xfId="0" applyAlignment="1" applyBorder="1" applyFill="1" applyFont="1">
      <alignment readingOrder="0"/>
    </xf>
    <xf borderId="0" fillId="15" fontId="6" numFmtId="0" xfId="0" applyAlignment="1" applyFont="1">
      <alignment readingOrder="0"/>
    </xf>
    <xf borderId="6" fillId="17" fontId="6" numFmtId="0" xfId="0" applyAlignment="1" applyBorder="1" applyFill="1" applyFont="1">
      <alignment readingOrder="0"/>
    </xf>
    <xf borderId="0" fillId="18" fontId="6" numFmtId="0" xfId="0" applyAlignment="1" applyFill="1" applyFont="1">
      <alignment readingOrder="0"/>
    </xf>
    <xf borderId="6" fillId="19" fontId="23" numFmtId="0" xfId="0" applyAlignment="1" applyBorder="1" applyFill="1" applyFont="1">
      <alignment readingOrder="0"/>
    </xf>
    <xf borderId="6" fillId="0" fontId="6" numFmtId="0" xfId="0" applyAlignment="1" applyBorder="1" applyFont="1">
      <alignment readingOrder="0"/>
    </xf>
    <xf borderId="0" fillId="16" fontId="6" numFmtId="0" xfId="0" applyAlignment="1" applyFont="1">
      <alignment readingOrder="0"/>
    </xf>
    <xf borderId="6" fillId="20" fontId="6" numFmtId="0" xfId="0" applyBorder="1" applyFill="1" applyFont="1"/>
    <xf borderId="0" fillId="17" fontId="6" numFmtId="0" xfId="0" applyAlignment="1" applyFont="1">
      <alignment readingOrder="0"/>
    </xf>
    <xf borderId="0" fillId="21" fontId="6" numFmtId="0" xfId="0" applyAlignment="1" applyFill="1" applyFont="1">
      <alignment readingOrder="0"/>
    </xf>
    <xf borderId="0" fillId="16" fontId="6" numFmtId="0" xfId="0" applyFont="1"/>
    <xf borderId="0" fillId="9" fontId="24" numFmtId="0" xfId="0" applyFont="1"/>
    <xf borderId="0" fillId="20" fontId="6" numFmtId="0" xfId="0" applyAlignment="1" applyFont="1">
      <alignment readingOrder="0"/>
    </xf>
    <xf borderId="0" fillId="22" fontId="25" numFmtId="14" xfId="0" applyFill="1" applyFont="1" applyNumberFormat="1"/>
    <xf borderId="0" fillId="21" fontId="6" numFmtId="0" xfId="0" applyFont="1"/>
    <xf borderId="0" fillId="23" fontId="16" numFmtId="0" xfId="0" applyFill="1" applyFont="1"/>
    <xf borderId="0" fillId="14" fontId="7" numFmtId="0" xfId="0" applyAlignment="1" applyFont="1">
      <alignment readingOrder="0"/>
    </xf>
    <xf borderId="0" fillId="10" fontId="23" numFmtId="0" xfId="0" applyFont="1"/>
    <xf borderId="0" fillId="24" fontId="23" numFmtId="0" xfId="0" applyFill="1" applyFont="1"/>
    <xf borderId="0" fillId="25" fontId="1" numFmtId="0" xfId="0" applyFill="1" applyFont="1"/>
    <xf borderId="6" fillId="0" fontId="14" numFmtId="0" xfId="0" applyAlignment="1" applyBorder="1" applyFont="1">
      <alignment horizontal="center" readingOrder="0"/>
    </xf>
    <xf borderId="0" fillId="14" fontId="7" numFmtId="164" xfId="0" applyAlignment="1" applyFont="1" applyNumberFormat="1">
      <alignment readingOrder="0"/>
    </xf>
    <xf borderId="0" fillId="3" fontId="6" numFmtId="14" xfId="0" applyAlignment="1" applyFont="1" applyNumberFormat="1">
      <alignment readingOrder="0"/>
    </xf>
    <xf borderId="6" fillId="2" fontId="6" numFmtId="0" xfId="0" applyBorder="1" applyFont="1"/>
    <xf borderId="0" fillId="15" fontId="7" numFmtId="164" xfId="0" applyAlignment="1" applyFont="1" applyNumberFormat="1">
      <alignment readingOrder="0"/>
    </xf>
    <xf borderId="0" fillId="22" fontId="6" numFmtId="0" xfId="0" applyAlignment="1" applyFont="1">
      <alignment readingOrder="0"/>
    </xf>
    <xf borderId="0" fillId="16" fontId="6" numFmtId="14" xfId="0" applyAlignment="1" applyFont="1" applyNumberFormat="1">
      <alignment readingOrder="0"/>
    </xf>
    <xf borderId="0" fillId="8" fontId="6" numFmtId="0" xfId="0" applyAlignment="1" applyFont="1">
      <alignment readingOrder="0"/>
    </xf>
    <xf borderId="0" fillId="8" fontId="6" numFmtId="14" xfId="0" applyAlignment="1" applyFont="1" applyNumberFormat="1">
      <alignment readingOrder="0"/>
    </xf>
    <xf borderId="0" fillId="15" fontId="7" numFmtId="0" xfId="0" applyAlignment="1" applyFont="1">
      <alignment readingOrder="0"/>
    </xf>
    <xf borderId="0" fillId="26" fontId="6" numFmtId="0" xfId="0" applyAlignment="1" applyFill="1" applyFont="1">
      <alignment readingOrder="0"/>
    </xf>
    <xf borderId="0" fillId="26" fontId="7" numFmtId="164" xfId="0" applyAlignment="1" applyFont="1" applyNumberFormat="1">
      <alignment readingOrder="0"/>
    </xf>
    <xf borderId="0" fillId="26" fontId="24" numFmtId="0" xfId="0" applyFont="1"/>
    <xf borderId="0" fillId="26" fontId="6" numFmtId="0" xfId="0" applyFont="1"/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7" numFmtId="0" xfId="0" applyAlignment="1" applyFont="1">
      <alignment horizontal="right" readingOrder="0" vertical="bottom"/>
    </xf>
    <xf borderId="0" fillId="25" fontId="6" numFmtId="0" xfId="0" applyAlignment="1" applyFont="1">
      <alignment readingOrder="0"/>
    </xf>
    <xf borderId="0" fillId="25" fontId="6" numFmtId="0" xfId="0" applyFont="1"/>
    <xf borderId="0" fillId="25" fontId="7" numFmtId="164" xfId="0" applyAlignment="1" applyFont="1" applyNumberFormat="1">
      <alignment readingOrder="0"/>
    </xf>
    <xf borderId="0" fillId="16" fontId="7" numFmtId="164" xfId="0" applyAlignment="1" applyFont="1" applyNumberFormat="1">
      <alignment readingOrder="0"/>
    </xf>
    <xf borderId="6" fillId="27" fontId="6" numFmtId="0" xfId="0" applyBorder="1" applyFill="1" applyFont="1"/>
    <xf borderId="0" fillId="27" fontId="6" numFmtId="0" xfId="0" applyAlignment="1" applyFont="1">
      <alignment readingOrder="0"/>
    </xf>
    <xf borderId="0" fillId="27" fontId="7" numFmtId="14" xfId="0" applyAlignment="1" applyFont="1" applyNumberFormat="1">
      <alignment readingOrder="0"/>
    </xf>
    <xf borderId="0" fillId="27" fontId="7" numFmtId="0" xfId="0" applyAlignment="1" applyFont="1">
      <alignment horizontal="right" readingOrder="0" vertical="bottom"/>
    </xf>
    <xf borderId="0" fillId="27" fontId="6" numFmtId="14" xfId="0" applyAlignment="1" applyFont="1" applyNumberFormat="1">
      <alignment readingOrder="0"/>
    </xf>
    <xf borderId="0" fillId="28" fontId="6" numFmtId="0" xfId="0" applyAlignment="1" applyFill="1" applyFont="1">
      <alignment readingOrder="0"/>
    </xf>
    <xf borderId="0" fillId="28" fontId="6" numFmtId="14" xfId="0" applyFont="1" applyNumberFormat="1"/>
    <xf borderId="0" fillId="22" fontId="26" numFmtId="14" xfId="0" applyFont="1" applyNumberFormat="1"/>
    <xf borderId="0" fillId="25" fontId="24" numFmtId="0" xfId="0" applyFont="1"/>
    <xf borderId="0" fillId="16" fontId="7" numFmtId="14" xfId="0" applyAlignment="1" applyFont="1" applyNumberFormat="1">
      <alignment readingOrder="0"/>
    </xf>
    <xf borderId="0" fillId="27" fontId="6" numFmtId="14" xfId="0" applyFont="1" applyNumberFormat="1"/>
    <xf borderId="0" fillId="27" fontId="26" numFmtId="14" xfId="0" applyFont="1" applyNumberFormat="1"/>
    <xf borderId="0" fillId="29" fontId="6" numFmtId="0" xfId="0" applyAlignment="1" applyFill="1" applyFont="1">
      <alignment readingOrder="0"/>
    </xf>
    <xf borderId="0" fillId="29" fontId="7" numFmtId="14" xfId="0" applyAlignment="1" applyFont="1" applyNumberFormat="1">
      <alignment readingOrder="0"/>
    </xf>
    <xf borderId="0" fillId="29" fontId="7" numFmtId="0" xfId="0" applyAlignment="1" applyFont="1">
      <alignment readingOrder="0"/>
    </xf>
    <xf borderId="0" fillId="22" fontId="26" numFmtId="164" xfId="0" applyFont="1" applyNumberFormat="1"/>
    <xf borderId="0" fillId="22" fontId="26" numFmtId="0" xfId="0" applyFont="1"/>
    <xf borderId="0" fillId="25" fontId="7" numFmtId="0" xfId="0" applyAlignment="1" applyFont="1">
      <alignment readingOrder="0"/>
    </xf>
    <xf borderId="6" fillId="6" fontId="6" numFmtId="0" xfId="0" applyBorder="1" applyFont="1"/>
    <xf borderId="0" fillId="16" fontId="7" numFmtId="0" xfId="0" applyAlignment="1" applyFont="1">
      <alignment readingOrder="0"/>
    </xf>
    <xf borderId="0" fillId="30" fontId="6" numFmtId="0" xfId="0" applyAlignment="1" applyFill="1" applyFont="1">
      <alignment readingOrder="0"/>
    </xf>
    <xf borderId="0" fillId="30" fontId="7" numFmtId="0" xfId="0" applyAlignment="1" applyFont="1">
      <alignment readingOrder="0"/>
    </xf>
    <xf borderId="0" fillId="30" fontId="7" numFmtId="0" xfId="0" applyAlignment="1" applyFont="1">
      <alignment horizontal="right" readingOrder="0" vertical="bottom"/>
    </xf>
    <xf borderId="0" fillId="25" fontId="26" numFmtId="0" xfId="0" applyAlignment="1" applyFont="1">
      <alignment readingOrder="0"/>
    </xf>
    <xf borderId="0" fillId="29" fontId="25" numFmtId="0" xfId="0" applyAlignment="1" applyFont="1">
      <alignment readingOrder="0"/>
    </xf>
    <xf borderId="0" fillId="0" fontId="6" numFmtId="165" xfId="0" applyAlignment="1" applyFont="1" applyNumberFormat="1">
      <alignment horizontal="left" readingOrder="0"/>
    </xf>
    <xf borderId="0" fillId="0" fontId="15" numFmtId="0" xfId="0" applyAlignment="1" applyFont="1">
      <alignment horizontal="center" readingOrder="0"/>
    </xf>
    <xf borderId="0" fillId="0" fontId="6" numFmtId="0" xfId="0" applyFont="1"/>
    <xf borderId="0" fillId="0" fontId="6" numFmtId="165" xfId="0" applyAlignment="1" applyFont="1" applyNumberFormat="1">
      <alignment readingOrder="0"/>
    </xf>
    <xf borderId="0" fillId="0" fontId="7" numFmtId="165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25" fontId="25" numFmtId="0" xfId="0" applyAlignment="1" applyFont="1">
      <alignment readingOrder="0"/>
    </xf>
    <xf borderId="4" fillId="18" fontId="9" numFmtId="0" xfId="0" applyBorder="1" applyFont="1"/>
    <xf borderId="0" fillId="25" fontId="7" numFmtId="0" xfId="0" applyAlignment="1" applyFont="1">
      <alignment vertical="bottom"/>
    </xf>
    <xf borderId="0" fillId="14" fontId="7" numFmtId="0" xfId="0" applyAlignment="1" applyFont="1">
      <alignment vertical="bottom"/>
    </xf>
    <xf borderId="0" fillId="25" fontId="7" numFmtId="0" xfId="0" applyAlignment="1" applyFont="1">
      <alignment horizontal="right" vertical="bottom"/>
    </xf>
    <xf borderId="0" fillId="27" fontId="7" numFmtId="0" xfId="0" applyAlignment="1" applyFont="1">
      <alignment vertical="bottom"/>
    </xf>
    <xf borderId="0" fillId="27" fontId="7" numFmtId="0" xfId="0" applyAlignment="1" applyFont="1">
      <alignment horizontal="right" vertical="bottom"/>
    </xf>
    <xf borderId="0" fillId="15" fontId="7" numFmtId="0" xfId="0" applyAlignment="1" applyFont="1">
      <alignment vertical="bottom"/>
    </xf>
    <xf borderId="0" fillId="15" fontId="7" numFmtId="0" xfId="0" applyAlignment="1" applyFont="1">
      <alignment horizontal="right" vertical="bottom"/>
    </xf>
    <xf borderId="0" fillId="16" fontId="7" numFmtId="0" xfId="0" applyAlignment="1" applyFont="1">
      <alignment vertical="bottom"/>
    </xf>
    <xf borderId="0" fillId="16" fontId="7" numFmtId="0" xfId="0" applyAlignment="1" applyFont="1">
      <alignment horizontal="right" vertical="bottom"/>
    </xf>
    <xf borderId="0" fillId="25" fontId="6" numFmtId="165" xfId="0" applyAlignment="1" applyFont="1" applyNumberFormat="1">
      <alignment readingOrder="0"/>
    </xf>
    <xf borderId="0" fillId="0" fontId="19" numFmtId="0" xfId="0" applyFont="1"/>
    <xf borderId="0" fillId="31" fontId="27" numFmtId="0" xfId="0" applyFill="1" applyFont="1"/>
    <xf borderId="0" fillId="3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14" fontId="7" numFmtId="0" xfId="0" applyAlignment="1" applyFont="1">
      <alignment vertical="bottom"/>
    </xf>
    <xf borderId="0" fillId="14" fontId="7" numFmtId="0" xfId="0" applyAlignment="1" applyFont="1">
      <alignment horizontal="right" vertical="bottom"/>
    </xf>
    <xf borderId="0" fillId="25" fontId="7" numFmtId="0" xfId="0" applyAlignment="1" applyFont="1">
      <alignment vertical="bottom"/>
    </xf>
    <xf borderId="0" fillId="25" fontId="7" numFmtId="0" xfId="0" applyAlignment="1" applyFont="1">
      <alignment horizontal="right" vertical="bottom"/>
    </xf>
    <xf borderId="0" fillId="22" fontId="7" numFmtId="0" xfId="0" applyAlignment="1" applyFont="1">
      <alignment readingOrder="0"/>
    </xf>
    <xf borderId="0" fillId="25" fontId="7" numFmtId="0" xfId="0" applyAlignment="1" applyFont="1">
      <alignment horizontal="right" readingOrder="0" vertical="bottom"/>
    </xf>
    <xf borderId="0" fillId="18" fontId="6" numFmtId="0" xfId="0" applyFont="1"/>
    <xf borderId="0" fillId="32" fontId="6" numFmtId="0" xfId="0" applyAlignment="1" applyFill="1" applyFont="1">
      <alignment readingOrder="0"/>
    </xf>
    <xf borderId="0" fillId="32" fontId="7" numFmtId="0" xfId="0" applyAlignment="1" applyFont="1">
      <alignment readingOrder="0"/>
    </xf>
    <xf borderId="0" fillId="32" fontId="6" numFmtId="0" xfId="0" applyFont="1"/>
    <xf borderId="4" fillId="6" fontId="2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TOTAL EXPENSE REPORT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FEB!$B$3:$B$22</c:f>
            </c:strRef>
          </c:cat>
          <c:val>
            <c:numRef>
              <c:f>FEB!$D$3:$D$22</c:f>
              <c:numCache/>
            </c:numRef>
          </c:val>
        </c:ser>
        <c:axId val="668062221"/>
        <c:axId val="917466797"/>
      </c:barChart>
      <c:catAx>
        <c:axId val="668062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17466797"/>
      </c:catAx>
      <c:valAx>
        <c:axId val="91746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68062221"/>
      </c:valAx>
    </c:plotArea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PENDING AMOUNT</a:t>
            </a:r>
          </a:p>
        </c:rich>
      </c:tx>
      <c:layout>
        <c:manualLayout>
          <c:xMode val="edge"/>
          <c:yMode val="edge"/>
          <c:x val="0.3811483351281215"/>
          <c:y val="0.02777786170012852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PAYMENT AMOUNT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FEB!$B$21:$B$33</c:f>
            </c:strRef>
          </c:cat>
          <c:val>
            <c:numRef>
              <c:f>FEB!$D$21:$D$33</c:f>
              <c:numCache/>
            </c:numRef>
          </c:val>
        </c:ser>
        <c:axId val="1257337787"/>
        <c:axId val="1177622115"/>
      </c:barChart>
      <c:catAx>
        <c:axId val="1257337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77622115"/>
      </c:catAx>
      <c:valAx>
        <c:axId val="1177622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57337787"/>
      </c:valAx>
    </c:plotArea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7</xdr:row>
      <xdr:rowOff>133350</xdr:rowOff>
    </xdr:from>
    <xdr:ext cx="7381875" cy="3990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28</xdr:row>
      <xdr:rowOff>85725</xdr:rowOff>
    </xdr:from>
    <xdr:ext cx="7419975" cy="3286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jeevansathi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6.14"/>
    <col customWidth="1" min="3" max="3" width="21.29"/>
    <col customWidth="1" min="4" max="4" width="28.43"/>
    <col customWidth="1" min="5" max="9" width="8.71"/>
    <col customWidth="1" min="10" max="10" width="39.29"/>
    <col customWidth="1" min="11" max="11" width="10.71"/>
    <col customWidth="1" min="12" max="26" width="8.71"/>
  </cols>
  <sheetData>
    <row r="1">
      <c r="A1" s="1" t="s">
        <v>0</v>
      </c>
      <c r="B1" s="2"/>
      <c r="C1" s="2"/>
      <c r="D1" s="3"/>
      <c r="J1" s="4" t="s">
        <v>1</v>
      </c>
      <c r="K1" s="5">
        <v>5840.0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7">
        <v>45457.0</v>
      </c>
    </row>
    <row r="3" ht="17.25" customHeight="1">
      <c r="A3" s="8" t="s">
        <v>7</v>
      </c>
      <c r="B3" s="8" t="s">
        <v>8</v>
      </c>
      <c r="C3" s="9">
        <f>DATE(2022,2,6)</f>
        <v>44598</v>
      </c>
      <c r="D3" s="8">
        <v>15000.0</v>
      </c>
      <c r="J3" s="10" t="s">
        <v>9</v>
      </c>
      <c r="K3" s="11">
        <v>40.0</v>
      </c>
    </row>
    <row r="4">
      <c r="A4" s="8" t="s">
        <v>10</v>
      </c>
      <c r="B4" s="8" t="s">
        <v>11</v>
      </c>
      <c r="C4" s="9">
        <f t="shared" ref="C4:C11" si="1">DATE(2022,1,31)</f>
        <v>44592</v>
      </c>
      <c r="D4" s="8">
        <v>5000.0</v>
      </c>
    </row>
    <row r="5">
      <c r="A5" s="8" t="s">
        <v>12</v>
      </c>
      <c r="B5" s="8" t="s">
        <v>8</v>
      </c>
      <c r="C5" s="9">
        <f t="shared" si="1"/>
        <v>44592</v>
      </c>
      <c r="D5" s="8">
        <v>1300.0</v>
      </c>
      <c r="J5" s="4" t="s">
        <v>13</v>
      </c>
      <c r="K5" s="12">
        <f>SUM(K1:K3)</f>
        <v>51337</v>
      </c>
    </row>
    <row r="6">
      <c r="A6" s="8" t="s">
        <v>14</v>
      </c>
      <c r="B6" s="8" t="s">
        <v>8</v>
      </c>
      <c r="C6" s="9">
        <f t="shared" si="1"/>
        <v>44592</v>
      </c>
      <c r="D6" s="8">
        <v>4000.0</v>
      </c>
    </row>
    <row r="7">
      <c r="A7" s="8" t="s">
        <v>15</v>
      </c>
      <c r="B7" s="8" t="s">
        <v>8</v>
      </c>
      <c r="C7" s="9">
        <f t="shared" si="1"/>
        <v>44592</v>
      </c>
      <c r="D7" s="8">
        <v>2000.0</v>
      </c>
      <c r="J7" s="4" t="s">
        <v>16</v>
      </c>
      <c r="K7" s="13">
        <f>K5 - (D26)</f>
        <v>4319</v>
      </c>
    </row>
    <row r="8">
      <c r="A8" s="8" t="s">
        <v>17</v>
      </c>
      <c r="B8" s="8" t="s">
        <v>18</v>
      </c>
      <c r="C8" s="9">
        <f t="shared" si="1"/>
        <v>44592</v>
      </c>
      <c r="D8" s="8">
        <v>500.0</v>
      </c>
    </row>
    <row r="9">
      <c r="A9" s="8" t="s">
        <v>19</v>
      </c>
      <c r="B9" s="8" t="s">
        <v>20</v>
      </c>
      <c r="C9" s="9">
        <f t="shared" si="1"/>
        <v>44592</v>
      </c>
      <c r="D9" s="8">
        <v>1500.0</v>
      </c>
    </row>
    <row r="10">
      <c r="A10" s="8" t="s">
        <v>21</v>
      </c>
      <c r="B10" s="8" t="s">
        <v>18</v>
      </c>
      <c r="C10" s="9">
        <f t="shared" si="1"/>
        <v>44592</v>
      </c>
      <c r="D10" s="8">
        <v>3000.0</v>
      </c>
    </row>
    <row r="11">
      <c r="A11" s="8" t="s">
        <v>22</v>
      </c>
      <c r="B11" s="8" t="s">
        <v>11</v>
      </c>
      <c r="C11" s="9">
        <f t="shared" si="1"/>
        <v>44592</v>
      </c>
      <c r="D11" s="8">
        <v>5000.0</v>
      </c>
    </row>
    <row r="12">
      <c r="A12" s="8" t="s">
        <v>23</v>
      </c>
      <c r="B12" s="8" t="s">
        <v>24</v>
      </c>
      <c r="C12" s="9">
        <f>DATE(2022,2,1)</f>
        <v>44593</v>
      </c>
      <c r="D12" s="8">
        <v>3420.0</v>
      </c>
    </row>
    <row r="13">
      <c r="A13" s="8" t="s">
        <v>25</v>
      </c>
      <c r="B13" s="8" t="s">
        <v>26</v>
      </c>
      <c r="C13" s="9">
        <f t="shared" ref="C13:C14" si="2">DATE(2022,2,3)</f>
        <v>44595</v>
      </c>
      <c r="D13" s="8">
        <v>99.0</v>
      </c>
    </row>
    <row r="14">
      <c r="A14" s="8" t="s">
        <v>27</v>
      </c>
      <c r="B14" s="8" t="s">
        <v>20</v>
      </c>
      <c r="C14" s="9">
        <f t="shared" si="2"/>
        <v>44595</v>
      </c>
      <c r="D14" s="8">
        <v>179.0</v>
      </c>
    </row>
    <row r="15">
      <c r="A15" s="8" t="s">
        <v>28</v>
      </c>
      <c r="B15" s="8" t="s">
        <v>18</v>
      </c>
      <c r="C15" s="9">
        <f>DATE(2022,2,6)</f>
        <v>44598</v>
      </c>
      <c r="D15" s="8">
        <v>3000.0</v>
      </c>
    </row>
    <row r="16">
      <c r="A16" s="8" t="s">
        <v>29</v>
      </c>
      <c r="B16" s="8" t="s">
        <v>26</v>
      </c>
      <c r="C16" s="9">
        <f t="shared" ref="C16:C17" si="3">DATE(2022,2,8)</f>
        <v>44600</v>
      </c>
      <c r="D16" s="14">
        <v>99.0</v>
      </c>
    </row>
    <row r="17">
      <c r="A17" s="8" t="s">
        <v>30</v>
      </c>
      <c r="B17" s="8" t="s">
        <v>26</v>
      </c>
      <c r="C17" s="9">
        <f t="shared" si="3"/>
        <v>44600</v>
      </c>
      <c r="D17" s="8">
        <v>155.0</v>
      </c>
    </row>
    <row r="18">
      <c r="A18" s="8" t="s">
        <v>31</v>
      </c>
      <c r="B18" s="8" t="s">
        <v>26</v>
      </c>
      <c r="C18" s="9">
        <f>DATE(2022,2,11)</f>
        <v>44603</v>
      </c>
      <c r="D18" s="8">
        <v>99.0</v>
      </c>
    </row>
    <row r="19">
      <c r="A19" s="8" t="s">
        <v>32</v>
      </c>
      <c r="B19" s="8" t="s">
        <v>26</v>
      </c>
      <c r="C19" s="9">
        <f t="shared" ref="C19:C20" si="4">DATE(2022,2,12)</f>
        <v>44604</v>
      </c>
      <c r="D19" s="8">
        <v>155.0</v>
      </c>
    </row>
    <row r="20">
      <c r="A20" s="8" t="s">
        <v>33</v>
      </c>
      <c r="B20" s="8" t="s">
        <v>34</v>
      </c>
      <c r="C20" s="9">
        <f t="shared" si="4"/>
        <v>44604</v>
      </c>
      <c r="D20" s="8">
        <v>1000.0</v>
      </c>
    </row>
    <row r="21" ht="15.75" customHeight="1">
      <c r="A21" s="8" t="s">
        <v>35</v>
      </c>
      <c r="B21" s="8" t="s">
        <v>24</v>
      </c>
      <c r="C21" s="9">
        <f>DATE(2022,2,13)</f>
        <v>44605</v>
      </c>
      <c r="D21" s="8">
        <v>1357.0</v>
      </c>
    </row>
    <row r="22" ht="15.75" customHeight="1">
      <c r="A22" s="8" t="s">
        <v>36</v>
      </c>
      <c r="B22" s="8" t="s">
        <v>26</v>
      </c>
      <c r="C22" s="9">
        <f>DATE(2022,2,20)</f>
        <v>44612</v>
      </c>
      <c r="D22" s="8">
        <v>155.0</v>
      </c>
    </row>
    <row r="23" ht="15.75" customHeight="1"/>
    <row r="24" ht="15.75" customHeight="1"/>
    <row r="25" ht="15.75" customHeight="1"/>
    <row r="26" ht="15.75" customHeight="1">
      <c r="C26" s="15" t="s">
        <v>37</v>
      </c>
      <c r="D26" s="16">
        <f>SUM(D3:D24)</f>
        <v>47018</v>
      </c>
    </row>
    <row r="27" ht="15.75" customHeight="1"/>
    <row r="28" ht="15.75" customHeight="1">
      <c r="A28" s="17" t="s">
        <v>38</v>
      </c>
      <c r="B28" s="2"/>
      <c r="C28" s="2"/>
      <c r="D28" s="3"/>
    </row>
    <row r="29" ht="15.75" customHeight="1">
      <c r="A29" s="6" t="s">
        <v>2</v>
      </c>
      <c r="B29" s="6" t="s">
        <v>3</v>
      </c>
      <c r="C29" s="6"/>
      <c r="D29" s="6" t="s">
        <v>5</v>
      </c>
    </row>
    <row r="30" ht="15.75" customHeight="1"/>
    <row r="31" ht="15.75" customHeight="1">
      <c r="C31" s="9"/>
    </row>
    <row r="32" ht="15.75" customHeight="1"/>
    <row r="33" ht="15.75" customHeight="1">
      <c r="C33" s="9"/>
    </row>
    <row r="34" ht="15.75" customHeight="1"/>
    <row r="35" ht="15.75" customHeight="1">
      <c r="C35" s="9"/>
    </row>
    <row r="36" ht="15.75" customHeight="1"/>
    <row r="37" ht="15.75" customHeight="1">
      <c r="C37" s="9"/>
    </row>
    <row r="38" ht="15.75" customHeight="1">
      <c r="C38" s="18" t="s">
        <v>39</v>
      </c>
      <c r="D38" s="19">
        <f>SUM(D21:D36)</f>
        <v>48530</v>
      </c>
    </row>
    <row r="39" ht="15.75" customHeight="1">
      <c r="C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8:D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43"/>
    <col customWidth="1" min="4" max="4" width="23.0"/>
    <col customWidth="1" min="5" max="5" width="12.71"/>
    <col customWidth="1" min="6" max="6" width="12.14"/>
    <col customWidth="1" min="7" max="7" width="37.43"/>
    <col customWidth="1" min="8" max="8" width="11.29"/>
    <col customWidth="1" min="9" max="9" width="8.71"/>
    <col customWidth="1" min="10" max="10" width="19.71"/>
    <col customWidth="1" min="11" max="11" width="11.29"/>
    <col customWidth="1" min="12" max="12" width="8.71"/>
    <col customWidth="1" min="13" max="13" width="21.0"/>
    <col customWidth="1" min="14" max="14" width="15.71"/>
    <col customWidth="1" min="15" max="26" width="8.71"/>
  </cols>
  <sheetData>
    <row r="1">
      <c r="A1" s="1" t="s">
        <v>0</v>
      </c>
      <c r="B1" s="2"/>
      <c r="C1" s="2"/>
      <c r="D1" s="3"/>
      <c r="G1" s="4" t="s">
        <v>1</v>
      </c>
      <c r="H1" s="20">
        <f>FEB!K7</f>
        <v>4319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G2" s="4" t="s">
        <v>6</v>
      </c>
      <c r="H2" s="21">
        <f>40000+1357</f>
        <v>41357</v>
      </c>
    </row>
    <row r="3" ht="17.25" customHeight="1">
      <c r="A3" s="8" t="s">
        <v>7</v>
      </c>
      <c r="B3" s="8" t="s">
        <v>8</v>
      </c>
      <c r="C3" s="9">
        <f>DATE(2022, 2, 26)</f>
        <v>44618</v>
      </c>
      <c r="D3" s="8">
        <v>12000.0</v>
      </c>
      <c r="G3" s="22" t="s">
        <v>40</v>
      </c>
      <c r="H3" s="22">
        <v>18000.0</v>
      </c>
    </row>
    <row r="4">
      <c r="A4" s="8" t="s">
        <v>41</v>
      </c>
      <c r="B4" s="8" t="s">
        <v>8</v>
      </c>
      <c r="C4" s="9">
        <f t="shared" ref="C4:C6" si="1">DATE(2022, 2, 27)</f>
        <v>44619</v>
      </c>
      <c r="D4" s="8">
        <v>2500.0</v>
      </c>
      <c r="G4" s="14" t="s">
        <v>42</v>
      </c>
      <c r="H4" s="14">
        <v>1300.0</v>
      </c>
    </row>
    <row r="5" ht="18.0" customHeight="1">
      <c r="A5" s="8" t="s">
        <v>43</v>
      </c>
      <c r="B5" s="8" t="s">
        <v>8</v>
      </c>
      <c r="C5" s="9">
        <f t="shared" si="1"/>
        <v>44619</v>
      </c>
      <c r="D5" s="8">
        <v>2860.0</v>
      </c>
      <c r="G5" s="4" t="s">
        <v>13</v>
      </c>
      <c r="H5" s="23">
        <f>H1 + H2 + H3</f>
        <v>63676</v>
      </c>
    </row>
    <row r="6">
      <c r="A6" s="8" t="s">
        <v>44</v>
      </c>
      <c r="B6" s="8" t="s">
        <v>24</v>
      </c>
      <c r="C6" s="9">
        <f t="shared" si="1"/>
        <v>44619</v>
      </c>
      <c r="D6" s="8">
        <v>3330.0</v>
      </c>
      <c r="H6" s="24"/>
      <c r="J6" s="4" t="s">
        <v>45</v>
      </c>
      <c r="K6" s="13">
        <f>H7 - D47</f>
        <v>20232.5</v>
      </c>
    </row>
    <row r="7">
      <c r="A7" s="8" t="s">
        <v>10</v>
      </c>
      <c r="B7" s="8" t="s">
        <v>46</v>
      </c>
      <c r="C7" s="9">
        <v>44619.0</v>
      </c>
      <c r="D7" s="8">
        <v>4700.0</v>
      </c>
      <c r="G7" s="4" t="s">
        <v>16</v>
      </c>
      <c r="H7" s="25">
        <f>H5 - (D27)</f>
        <v>20232.5</v>
      </c>
      <c r="K7" s="24"/>
    </row>
    <row r="8">
      <c r="A8" s="8" t="s">
        <v>22</v>
      </c>
      <c r="B8" s="8" t="s">
        <v>46</v>
      </c>
      <c r="C8" s="9">
        <v>44619.0</v>
      </c>
      <c r="D8" s="8">
        <v>5000.0</v>
      </c>
      <c r="K8" s="24"/>
    </row>
    <row r="9">
      <c r="A9" s="8" t="s">
        <v>12</v>
      </c>
      <c r="B9" s="8" t="s">
        <v>8</v>
      </c>
      <c r="C9" s="9">
        <v>44620.0</v>
      </c>
      <c r="D9" s="8">
        <v>1300.0</v>
      </c>
      <c r="K9" s="24"/>
    </row>
    <row r="10">
      <c r="A10" s="8" t="s">
        <v>47</v>
      </c>
      <c r="B10" s="8" t="s">
        <v>48</v>
      </c>
      <c r="C10" s="9">
        <v>44620.0</v>
      </c>
      <c r="D10" s="8">
        <v>1000.0</v>
      </c>
      <c r="K10" s="24"/>
    </row>
    <row r="11">
      <c r="A11" s="8" t="s">
        <v>49</v>
      </c>
      <c r="B11" s="8" t="s">
        <v>50</v>
      </c>
      <c r="C11" s="9">
        <v>44620.0</v>
      </c>
      <c r="D11" s="8">
        <v>3000.0</v>
      </c>
      <c r="K11" s="24"/>
    </row>
    <row r="12">
      <c r="A12" s="8" t="s">
        <v>51</v>
      </c>
      <c r="B12" s="8" t="s">
        <v>52</v>
      </c>
      <c r="C12" s="9">
        <v>44620.0</v>
      </c>
      <c r="D12" s="8">
        <v>500.0</v>
      </c>
      <c r="K12" s="24"/>
    </row>
    <row r="13">
      <c r="A13" s="8" t="s">
        <v>25</v>
      </c>
      <c r="B13" s="8" t="s">
        <v>26</v>
      </c>
      <c r="C13" s="9">
        <f>DATE(2022,3,3)</f>
        <v>44623</v>
      </c>
      <c r="D13" s="8">
        <v>99.0</v>
      </c>
      <c r="K13" s="24"/>
    </row>
    <row r="14">
      <c r="A14" s="8" t="s">
        <v>29</v>
      </c>
      <c r="B14" s="8" t="s">
        <v>26</v>
      </c>
      <c r="C14" s="9">
        <f t="shared" ref="C14:C17" si="2">DATE(2022,3,10)</f>
        <v>44630</v>
      </c>
      <c r="D14" s="14">
        <v>155.0</v>
      </c>
      <c r="G14" s="26" t="s">
        <v>53</v>
      </c>
      <c r="K14" s="24"/>
    </row>
    <row r="15">
      <c r="A15" s="14" t="s">
        <v>54</v>
      </c>
      <c r="B15" s="14" t="s">
        <v>26</v>
      </c>
      <c r="C15" s="9">
        <f t="shared" si="2"/>
        <v>44630</v>
      </c>
      <c r="D15" s="14">
        <v>99.0</v>
      </c>
      <c r="G15" s="14" t="s">
        <v>55</v>
      </c>
      <c r="H15" s="9">
        <f t="shared" ref="H15:H16" si="3">DATE(2022,3,11)</f>
        <v>44631</v>
      </c>
      <c r="I15" s="14">
        <v>142.0</v>
      </c>
      <c r="K15" s="27" t="s">
        <v>56</v>
      </c>
    </row>
    <row r="16">
      <c r="A16" s="14" t="s">
        <v>32</v>
      </c>
      <c r="B16" s="8" t="s">
        <v>26</v>
      </c>
      <c r="C16" s="9">
        <f t="shared" si="2"/>
        <v>44630</v>
      </c>
      <c r="D16" s="14">
        <v>155.0</v>
      </c>
      <c r="G16" s="14" t="s">
        <v>57</v>
      </c>
      <c r="H16" s="9">
        <f t="shared" si="3"/>
        <v>44631</v>
      </c>
      <c r="I16" s="14">
        <v>50.0</v>
      </c>
      <c r="K16" s="27" t="s">
        <v>56</v>
      </c>
    </row>
    <row r="17">
      <c r="A17" s="14" t="s">
        <v>31</v>
      </c>
      <c r="B17" s="8" t="s">
        <v>26</v>
      </c>
      <c r="C17" s="9">
        <f t="shared" si="2"/>
        <v>44630</v>
      </c>
      <c r="D17" s="14">
        <v>99.0</v>
      </c>
      <c r="G17" s="14" t="s">
        <v>58</v>
      </c>
      <c r="I17" s="14">
        <v>1924.0</v>
      </c>
      <c r="K17" s="27" t="s">
        <v>59</v>
      </c>
    </row>
    <row r="18">
      <c r="A18" s="8" t="s">
        <v>60</v>
      </c>
      <c r="B18" s="8" t="s">
        <v>24</v>
      </c>
      <c r="C18" s="9">
        <f>DATE(2022,3,15)</f>
        <v>44635</v>
      </c>
      <c r="D18" s="8">
        <v>1357.0</v>
      </c>
      <c r="G18" s="14" t="s">
        <v>61</v>
      </c>
      <c r="I18" s="14">
        <v>1800.0</v>
      </c>
      <c r="K18" s="27" t="s">
        <v>56</v>
      </c>
    </row>
    <row r="19">
      <c r="A19" s="14" t="s">
        <v>62</v>
      </c>
      <c r="C19" s="9">
        <f>DATE(2022,3,12)</f>
        <v>44632</v>
      </c>
      <c r="D19" s="14">
        <v>1227.0</v>
      </c>
      <c r="G19" s="14" t="s">
        <v>63</v>
      </c>
      <c r="I19" s="14">
        <v>80.0</v>
      </c>
      <c r="J19" s="14" t="s">
        <v>64</v>
      </c>
      <c r="K19" s="27" t="s">
        <v>59</v>
      </c>
    </row>
    <row r="20">
      <c r="A20" s="14" t="s">
        <v>65</v>
      </c>
      <c r="B20" s="14" t="s">
        <v>66</v>
      </c>
      <c r="D20" s="14">
        <v>142.5</v>
      </c>
      <c r="G20" s="14" t="s">
        <v>67</v>
      </c>
      <c r="I20" s="14">
        <v>500.0</v>
      </c>
      <c r="K20" s="27" t="s">
        <v>56</v>
      </c>
    </row>
    <row r="21" ht="15.75" customHeight="1">
      <c r="A21" s="14" t="s">
        <v>68</v>
      </c>
      <c r="B21" s="14" t="s">
        <v>66</v>
      </c>
      <c r="D21" s="14">
        <v>650.0</v>
      </c>
      <c r="G21" s="14" t="s">
        <v>69</v>
      </c>
      <c r="I21" s="14">
        <v>400.0</v>
      </c>
      <c r="K21" s="27" t="s">
        <v>59</v>
      </c>
    </row>
    <row r="22" ht="15.75" customHeight="1">
      <c r="A22" s="14" t="s">
        <v>51</v>
      </c>
      <c r="D22" s="14">
        <v>1000.0</v>
      </c>
      <c r="G22" s="14" t="s">
        <v>58</v>
      </c>
      <c r="I22" s="14">
        <v>800.0</v>
      </c>
      <c r="J22" s="28" t="s">
        <v>64</v>
      </c>
      <c r="K22" s="27" t="s">
        <v>59</v>
      </c>
    </row>
    <row r="23" ht="15.75" customHeight="1">
      <c r="A23" s="14" t="s">
        <v>70</v>
      </c>
      <c r="C23" s="9">
        <f>DATE(2022,3,19)</f>
        <v>44639</v>
      </c>
      <c r="D23" s="14">
        <v>900.0</v>
      </c>
      <c r="G23" s="14" t="s">
        <v>71</v>
      </c>
      <c r="I23" s="14">
        <v>356.0</v>
      </c>
      <c r="K23" s="24"/>
    </row>
    <row r="24" ht="15.75" customHeight="1">
      <c r="A24" s="14" t="s">
        <v>64</v>
      </c>
      <c r="B24" s="14" t="s">
        <v>66</v>
      </c>
      <c r="C24" s="9">
        <f>DATE(2022,3,31)</f>
        <v>44651</v>
      </c>
      <c r="D24" s="14">
        <v>735.0</v>
      </c>
      <c r="K24" s="24"/>
    </row>
    <row r="25" ht="15.75" customHeight="1">
      <c r="A25" s="14" t="s">
        <v>72</v>
      </c>
      <c r="B25" s="14" t="s">
        <v>24</v>
      </c>
      <c r="C25" s="9">
        <f>DATE(2022,3,27)</f>
        <v>44647</v>
      </c>
      <c r="D25" s="14">
        <v>635.0</v>
      </c>
      <c r="K25" s="24"/>
    </row>
    <row r="26" ht="15.75" customHeight="1">
      <c r="K26" s="24"/>
    </row>
    <row r="27" ht="15.75" customHeight="1">
      <c r="C27" s="10" t="s">
        <v>37</v>
      </c>
      <c r="D27" s="29">
        <f>SUM(D3:D25)</f>
        <v>43443.5</v>
      </c>
      <c r="K27" s="24"/>
      <c r="L27" s="14">
        <v>2292.0</v>
      </c>
    </row>
    <row r="28" ht="15.75" customHeight="1">
      <c r="G28" s="14" t="s">
        <v>73</v>
      </c>
      <c r="I28" s="30">
        <f>sum(I15:I26)</f>
        <v>6052</v>
      </c>
      <c r="K28" s="24"/>
      <c r="L28" s="14">
        <v>3760.0</v>
      </c>
      <c r="M28" s="14">
        <v>236.0</v>
      </c>
    </row>
    <row r="29" ht="15.75" customHeight="1">
      <c r="K29" s="24"/>
    </row>
    <row r="30" ht="15.75" customHeight="1">
      <c r="A30" s="17" t="s">
        <v>38</v>
      </c>
      <c r="B30" s="2"/>
      <c r="C30" s="2"/>
      <c r="D30" s="3"/>
      <c r="I30" s="14">
        <f>(I28/2)</f>
        <v>3026</v>
      </c>
      <c r="K30" s="24"/>
    </row>
    <row r="31" ht="15.75" customHeight="1">
      <c r="A31" s="6" t="s">
        <v>2</v>
      </c>
      <c r="B31" s="6" t="s">
        <v>3</v>
      </c>
      <c r="C31" s="6"/>
      <c r="D31" s="6" t="s">
        <v>5</v>
      </c>
      <c r="I31" s="8">
        <f>(I30+650)</f>
        <v>3676</v>
      </c>
      <c r="K31" s="24"/>
    </row>
    <row r="32" ht="15.75" customHeight="1">
      <c r="K32" s="24"/>
    </row>
    <row r="33" ht="15.75" customHeight="1">
      <c r="K33" s="24"/>
    </row>
    <row r="34" ht="15.75" customHeight="1">
      <c r="C34" s="9"/>
      <c r="K34" s="24"/>
    </row>
    <row r="35" ht="15.75" customHeight="1">
      <c r="C35" s="9"/>
      <c r="K35" s="24"/>
    </row>
    <row r="36" ht="15.75" customHeight="1">
      <c r="K36" s="24"/>
    </row>
    <row r="37" ht="15.75" customHeight="1">
      <c r="K37" s="24"/>
    </row>
    <row r="38" ht="15.75" customHeight="1">
      <c r="K38" s="24"/>
    </row>
    <row r="39" ht="15.75" customHeight="1">
      <c r="K39" s="24"/>
    </row>
    <row r="40" ht="15.75" customHeight="1">
      <c r="K40" s="24"/>
    </row>
    <row r="41" ht="15.75" customHeight="1">
      <c r="K41" s="24"/>
    </row>
    <row r="42" ht="15.75" customHeight="1">
      <c r="K42" s="24"/>
    </row>
    <row r="43" ht="15.75" customHeight="1">
      <c r="K43" s="24"/>
    </row>
    <row r="44" ht="15.75" customHeight="1">
      <c r="C44" s="9"/>
      <c r="K44" s="24"/>
    </row>
    <row r="45" ht="15.75" customHeight="1">
      <c r="C45" s="9"/>
      <c r="K45" s="24"/>
    </row>
    <row r="46" ht="15.75" customHeight="1">
      <c r="K46" s="24"/>
    </row>
    <row r="47" ht="15.75" customHeight="1">
      <c r="C47" s="10" t="s">
        <v>39</v>
      </c>
      <c r="D47" s="19">
        <f>SUM(D32:D45)</f>
        <v>0</v>
      </c>
      <c r="K47" s="24"/>
    </row>
    <row r="48" ht="15.75" customHeight="1">
      <c r="K48" s="24"/>
    </row>
    <row r="49" ht="15.75" customHeight="1">
      <c r="K49" s="24"/>
    </row>
    <row r="50" ht="15.75" customHeight="1">
      <c r="K50" s="24"/>
    </row>
    <row r="51" ht="15.75" customHeight="1">
      <c r="K51" s="24"/>
    </row>
    <row r="52" ht="15.75" customHeight="1">
      <c r="K52" s="24"/>
    </row>
    <row r="53" ht="15.75" customHeight="1">
      <c r="K53" s="24"/>
    </row>
    <row r="54" ht="15.75" customHeight="1">
      <c r="K54" s="24"/>
    </row>
    <row r="55" ht="15.75" customHeight="1">
      <c r="K55" s="24"/>
    </row>
    <row r="56" ht="15.75" customHeight="1">
      <c r="K56" s="24"/>
    </row>
    <row r="57" ht="15.75" customHeight="1">
      <c r="K57" s="24"/>
    </row>
    <row r="58" ht="15.75" customHeight="1">
      <c r="K58" s="24"/>
    </row>
    <row r="59" ht="15.75" customHeight="1">
      <c r="K59" s="24"/>
    </row>
    <row r="60" ht="15.75" customHeight="1">
      <c r="K60" s="24"/>
    </row>
    <row r="61" ht="15.75" customHeight="1">
      <c r="K61" s="24"/>
    </row>
    <row r="62" ht="15.75" customHeight="1">
      <c r="K62" s="24"/>
    </row>
    <row r="63" ht="15.75" customHeight="1">
      <c r="K63" s="24"/>
    </row>
    <row r="64" ht="15.75" customHeight="1">
      <c r="K64" s="24"/>
    </row>
    <row r="65" ht="15.75" customHeight="1">
      <c r="K65" s="24"/>
    </row>
    <row r="66" ht="15.75" customHeight="1">
      <c r="K66" s="24"/>
    </row>
    <row r="67" ht="15.75" customHeight="1">
      <c r="K67" s="24"/>
    </row>
    <row r="68" ht="15.75" customHeight="1">
      <c r="K68" s="24"/>
    </row>
    <row r="69" ht="15.75" customHeight="1">
      <c r="K69" s="24"/>
    </row>
    <row r="70" ht="15.75" customHeight="1">
      <c r="K70" s="24"/>
    </row>
    <row r="71" ht="15.75" customHeight="1">
      <c r="K71" s="24"/>
    </row>
    <row r="72" ht="15.75" customHeight="1">
      <c r="K72" s="24"/>
    </row>
    <row r="73" ht="15.75" customHeight="1">
      <c r="K73" s="24"/>
    </row>
    <row r="74" ht="15.75" customHeight="1">
      <c r="K74" s="24"/>
    </row>
    <row r="75" ht="15.75" customHeight="1">
      <c r="K75" s="24"/>
    </row>
    <row r="76" ht="15.75" customHeight="1">
      <c r="K76" s="24"/>
    </row>
    <row r="77" ht="15.75" customHeight="1">
      <c r="K77" s="24"/>
    </row>
    <row r="78" ht="15.75" customHeight="1">
      <c r="K78" s="24"/>
    </row>
    <row r="79" ht="15.75" customHeight="1">
      <c r="K79" s="24"/>
    </row>
    <row r="80" ht="15.75" customHeight="1">
      <c r="K80" s="24"/>
    </row>
    <row r="81" ht="15.75" customHeight="1">
      <c r="K81" s="24"/>
    </row>
    <row r="82" ht="15.75" customHeight="1">
      <c r="K82" s="24"/>
    </row>
    <row r="83" ht="15.75" customHeight="1">
      <c r="K83" s="24"/>
    </row>
    <row r="84" ht="15.75" customHeight="1">
      <c r="K84" s="24"/>
    </row>
    <row r="85" ht="15.75" customHeight="1">
      <c r="K85" s="24"/>
    </row>
    <row r="86" ht="15.75" customHeight="1">
      <c r="K86" s="24"/>
    </row>
    <row r="87" ht="15.75" customHeight="1">
      <c r="K87" s="24"/>
    </row>
    <row r="88" ht="15.75" customHeight="1">
      <c r="K88" s="24"/>
    </row>
    <row r="89" ht="15.75" customHeight="1">
      <c r="K89" s="24"/>
    </row>
    <row r="90" ht="15.75" customHeight="1">
      <c r="K90" s="24"/>
    </row>
    <row r="91" ht="15.75" customHeight="1">
      <c r="K91" s="24"/>
    </row>
    <row r="92" ht="15.75" customHeight="1">
      <c r="K92" s="24"/>
    </row>
    <row r="93" ht="15.75" customHeight="1">
      <c r="K93" s="24"/>
    </row>
    <row r="94" ht="15.75" customHeight="1">
      <c r="K94" s="24"/>
    </row>
    <row r="95" ht="15.75" customHeight="1">
      <c r="K95" s="24"/>
    </row>
    <row r="96" ht="15.75" customHeight="1">
      <c r="K96" s="24"/>
    </row>
    <row r="97" ht="15.75" customHeight="1">
      <c r="K97" s="24"/>
    </row>
    <row r="98" ht="15.75" customHeight="1">
      <c r="K98" s="24"/>
    </row>
    <row r="99" ht="15.75" customHeight="1">
      <c r="K99" s="24"/>
    </row>
    <row r="100" ht="15.75" customHeight="1">
      <c r="K100" s="24"/>
    </row>
    <row r="101" ht="15.75" customHeight="1">
      <c r="K101" s="24"/>
    </row>
    <row r="102" ht="15.75" customHeight="1">
      <c r="K102" s="24"/>
    </row>
    <row r="103" ht="15.75" customHeight="1">
      <c r="K103" s="24"/>
    </row>
    <row r="104" ht="15.75" customHeight="1">
      <c r="K104" s="24"/>
    </row>
    <row r="105" ht="15.75" customHeight="1">
      <c r="K105" s="24"/>
    </row>
    <row r="106" ht="15.75" customHeight="1">
      <c r="K106" s="24"/>
    </row>
    <row r="107" ht="15.75" customHeight="1">
      <c r="K107" s="24"/>
    </row>
    <row r="108" ht="15.75" customHeight="1">
      <c r="K108" s="24"/>
    </row>
    <row r="109" ht="15.75" customHeight="1">
      <c r="K109" s="24"/>
    </row>
    <row r="110" ht="15.75" customHeight="1">
      <c r="K110" s="24"/>
    </row>
    <row r="111" ht="15.75" customHeight="1">
      <c r="K111" s="24"/>
    </row>
    <row r="112" ht="15.75" customHeight="1">
      <c r="K112" s="24"/>
    </row>
    <row r="113" ht="15.75" customHeight="1">
      <c r="K113" s="24"/>
    </row>
    <row r="114" ht="15.75" customHeight="1">
      <c r="K114" s="24"/>
    </row>
    <row r="115" ht="15.75" customHeight="1">
      <c r="K115" s="24"/>
    </row>
    <row r="116" ht="15.75" customHeight="1">
      <c r="K116" s="24"/>
    </row>
    <row r="117" ht="15.75" customHeight="1">
      <c r="K117" s="24"/>
    </row>
    <row r="118" ht="15.75" customHeight="1">
      <c r="K118" s="24"/>
    </row>
    <row r="119" ht="15.75" customHeight="1">
      <c r="K119" s="24"/>
    </row>
    <row r="120" ht="15.75" customHeight="1">
      <c r="K120" s="24"/>
    </row>
    <row r="121" ht="15.75" customHeight="1">
      <c r="K121" s="24"/>
    </row>
    <row r="122" ht="15.75" customHeight="1">
      <c r="K122" s="24"/>
    </row>
    <row r="123" ht="15.75" customHeight="1">
      <c r="K123" s="24"/>
    </row>
    <row r="124" ht="15.75" customHeight="1">
      <c r="K124" s="24"/>
    </row>
    <row r="125" ht="15.75" customHeight="1">
      <c r="K125" s="24"/>
    </row>
    <row r="126" ht="15.75" customHeight="1">
      <c r="K126" s="24"/>
    </row>
    <row r="127" ht="15.75" customHeight="1">
      <c r="K127" s="24"/>
    </row>
    <row r="128" ht="15.75" customHeight="1">
      <c r="K128" s="24"/>
    </row>
    <row r="129" ht="15.75" customHeight="1">
      <c r="K129" s="24"/>
    </row>
    <row r="130" ht="15.75" customHeight="1">
      <c r="K130" s="24"/>
    </row>
    <row r="131" ht="15.75" customHeight="1">
      <c r="K131" s="24"/>
    </row>
    <row r="132" ht="15.75" customHeight="1">
      <c r="K132" s="24"/>
    </row>
    <row r="133" ht="15.75" customHeight="1">
      <c r="K133" s="24"/>
    </row>
    <row r="134" ht="15.75" customHeight="1">
      <c r="K134" s="24"/>
    </row>
    <row r="135" ht="15.75" customHeight="1">
      <c r="K135" s="24"/>
    </row>
    <row r="136" ht="15.75" customHeight="1">
      <c r="K136" s="24"/>
    </row>
    <row r="137" ht="15.75" customHeight="1">
      <c r="K137" s="24"/>
    </row>
    <row r="138" ht="15.75" customHeight="1">
      <c r="K138" s="24"/>
    </row>
    <row r="139" ht="15.75" customHeight="1">
      <c r="K139" s="24"/>
    </row>
    <row r="140" ht="15.75" customHeight="1">
      <c r="K140" s="24"/>
    </row>
    <row r="141" ht="15.75" customHeight="1">
      <c r="K141" s="24"/>
    </row>
    <row r="142" ht="15.75" customHeight="1">
      <c r="K142" s="24"/>
    </row>
    <row r="143" ht="15.75" customHeight="1">
      <c r="K143" s="24"/>
    </row>
    <row r="144" ht="15.75" customHeight="1">
      <c r="K144" s="24"/>
    </row>
    <row r="145" ht="15.75" customHeight="1">
      <c r="K145" s="24"/>
    </row>
    <row r="146" ht="15.75" customHeight="1">
      <c r="K146" s="24"/>
    </row>
    <row r="147" ht="15.75" customHeight="1">
      <c r="K147" s="24"/>
    </row>
    <row r="148" ht="15.75" customHeight="1">
      <c r="K148" s="24"/>
    </row>
    <row r="149" ht="15.75" customHeight="1">
      <c r="K149" s="24"/>
    </row>
    <row r="150" ht="15.75" customHeight="1">
      <c r="K150" s="24"/>
    </row>
    <row r="151" ht="15.75" customHeight="1">
      <c r="K151" s="24"/>
    </row>
    <row r="152" ht="15.75" customHeight="1">
      <c r="K152" s="24"/>
    </row>
    <row r="153" ht="15.75" customHeight="1">
      <c r="K153" s="24"/>
    </row>
    <row r="154" ht="15.75" customHeight="1">
      <c r="K154" s="24"/>
    </row>
    <row r="155" ht="15.75" customHeight="1">
      <c r="K155" s="24"/>
    </row>
    <row r="156" ht="15.75" customHeight="1">
      <c r="K156" s="24"/>
    </row>
    <row r="157" ht="15.75" customHeight="1">
      <c r="K157" s="24"/>
    </row>
    <row r="158" ht="15.75" customHeight="1">
      <c r="K158" s="24"/>
    </row>
    <row r="159" ht="15.75" customHeight="1">
      <c r="K159" s="24"/>
    </row>
    <row r="160" ht="15.75" customHeight="1">
      <c r="K160" s="24"/>
    </row>
    <row r="161" ht="15.75" customHeight="1">
      <c r="K161" s="24"/>
    </row>
    <row r="162" ht="15.75" customHeight="1">
      <c r="K162" s="24"/>
    </row>
    <row r="163" ht="15.75" customHeight="1">
      <c r="K163" s="24"/>
    </row>
    <row r="164" ht="15.75" customHeight="1">
      <c r="K164" s="24"/>
    </row>
    <row r="165" ht="15.75" customHeight="1">
      <c r="K165" s="24"/>
    </row>
    <row r="166" ht="15.75" customHeight="1">
      <c r="K166" s="24"/>
    </row>
    <row r="167" ht="15.75" customHeight="1">
      <c r="K167" s="24"/>
    </row>
    <row r="168" ht="15.75" customHeight="1">
      <c r="K168" s="24"/>
    </row>
    <row r="169" ht="15.75" customHeight="1">
      <c r="K169" s="24"/>
    </row>
    <row r="170" ht="15.75" customHeight="1">
      <c r="K170" s="24"/>
    </row>
    <row r="171" ht="15.75" customHeight="1">
      <c r="K171" s="24"/>
    </row>
    <row r="172" ht="15.75" customHeight="1">
      <c r="K172" s="24"/>
    </row>
    <row r="173" ht="15.75" customHeight="1">
      <c r="K173" s="24"/>
    </row>
    <row r="174" ht="15.75" customHeight="1">
      <c r="K174" s="24"/>
    </row>
    <row r="175" ht="15.75" customHeight="1">
      <c r="K175" s="24"/>
    </row>
    <row r="176" ht="15.75" customHeight="1">
      <c r="K176" s="24"/>
    </row>
    <row r="177" ht="15.75" customHeight="1">
      <c r="K177" s="24"/>
    </row>
    <row r="178" ht="15.75" customHeight="1">
      <c r="K178" s="24"/>
    </row>
    <row r="179" ht="15.75" customHeight="1">
      <c r="K179" s="24"/>
    </row>
    <row r="180" ht="15.75" customHeight="1">
      <c r="K180" s="24"/>
    </row>
    <row r="181" ht="15.75" customHeight="1">
      <c r="K181" s="24"/>
    </row>
    <row r="182" ht="15.75" customHeight="1">
      <c r="K182" s="24"/>
    </row>
    <row r="183" ht="15.75" customHeight="1">
      <c r="K183" s="24"/>
    </row>
    <row r="184" ht="15.75" customHeight="1">
      <c r="K184" s="24"/>
    </row>
    <row r="185" ht="15.75" customHeight="1">
      <c r="K185" s="24"/>
    </row>
    <row r="186" ht="15.75" customHeight="1">
      <c r="K186" s="24"/>
    </row>
    <row r="187" ht="15.75" customHeight="1">
      <c r="K187" s="24"/>
    </row>
    <row r="188" ht="15.75" customHeight="1">
      <c r="K188" s="24"/>
    </row>
    <row r="189" ht="15.75" customHeight="1">
      <c r="K189" s="24"/>
    </row>
    <row r="190" ht="15.75" customHeight="1">
      <c r="K190" s="24"/>
    </row>
    <row r="191" ht="15.75" customHeight="1">
      <c r="K191" s="24"/>
    </row>
    <row r="192" ht="15.75" customHeight="1">
      <c r="K192" s="24"/>
    </row>
    <row r="193" ht="15.75" customHeight="1">
      <c r="K193" s="24"/>
    </row>
    <row r="194" ht="15.75" customHeight="1">
      <c r="K194" s="24"/>
    </row>
    <row r="195" ht="15.75" customHeight="1">
      <c r="K195" s="24"/>
    </row>
    <row r="196" ht="15.75" customHeight="1">
      <c r="K196" s="24"/>
    </row>
    <row r="197" ht="15.75" customHeight="1">
      <c r="K197" s="24"/>
    </row>
    <row r="198" ht="15.75" customHeight="1">
      <c r="K198" s="24"/>
    </row>
    <row r="199" ht="15.75" customHeight="1">
      <c r="K199" s="24"/>
    </row>
    <row r="200" ht="15.75" customHeight="1">
      <c r="K200" s="24"/>
    </row>
    <row r="201" ht="15.75" customHeight="1">
      <c r="K201" s="24"/>
    </row>
    <row r="202" ht="15.75" customHeight="1">
      <c r="K202" s="24"/>
    </row>
    <row r="203" ht="15.75" customHeight="1">
      <c r="K203" s="24"/>
    </row>
    <row r="204" ht="15.75" customHeight="1">
      <c r="K204" s="24"/>
    </row>
    <row r="205" ht="15.75" customHeight="1">
      <c r="K205" s="24"/>
    </row>
    <row r="206" ht="15.75" customHeight="1">
      <c r="K206" s="24"/>
    </row>
    <row r="207" ht="15.75" customHeight="1">
      <c r="K207" s="24"/>
    </row>
    <row r="208" ht="15.75" customHeight="1">
      <c r="K208" s="24"/>
    </row>
    <row r="209" ht="15.75" customHeight="1">
      <c r="K209" s="24"/>
    </row>
    <row r="210" ht="15.75" customHeight="1">
      <c r="K210" s="24"/>
    </row>
    <row r="211" ht="15.75" customHeight="1">
      <c r="K211" s="24"/>
    </row>
    <row r="212" ht="15.75" customHeight="1">
      <c r="K212" s="24"/>
    </row>
    <row r="213" ht="15.75" customHeight="1">
      <c r="K213" s="24"/>
    </row>
    <row r="214" ht="15.75" customHeight="1">
      <c r="K214" s="24"/>
    </row>
    <row r="215" ht="15.75" customHeight="1">
      <c r="K215" s="24"/>
    </row>
    <row r="216" ht="15.75" customHeight="1">
      <c r="K216" s="24"/>
    </row>
    <row r="217" ht="15.75" customHeight="1">
      <c r="K217" s="24"/>
    </row>
    <row r="218" ht="15.75" customHeight="1">
      <c r="K218" s="24"/>
    </row>
    <row r="219" ht="15.75" customHeight="1">
      <c r="K219" s="24"/>
    </row>
    <row r="220" ht="15.75" customHeight="1">
      <c r="K220" s="24"/>
    </row>
    <row r="221" ht="15.75" customHeight="1">
      <c r="K221" s="24"/>
    </row>
    <row r="222" ht="15.75" customHeight="1">
      <c r="K222" s="24"/>
    </row>
    <row r="223" ht="15.75" customHeight="1">
      <c r="K223" s="24"/>
    </row>
    <row r="224" ht="15.75" customHeight="1">
      <c r="K224" s="24"/>
    </row>
    <row r="225" ht="15.75" customHeight="1">
      <c r="K225" s="24"/>
    </row>
    <row r="226" ht="15.75" customHeight="1">
      <c r="K226" s="24"/>
    </row>
    <row r="227" ht="15.75" customHeight="1">
      <c r="K227" s="24"/>
    </row>
    <row r="228" ht="15.75" customHeight="1">
      <c r="K228" s="24"/>
    </row>
    <row r="229" ht="15.75" customHeight="1">
      <c r="K229" s="24"/>
    </row>
    <row r="230" ht="15.75" customHeight="1">
      <c r="K230" s="24"/>
    </row>
    <row r="231" ht="15.75" customHeight="1">
      <c r="K231" s="24"/>
    </row>
    <row r="232" ht="15.75" customHeight="1">
      <c r="K232" s="24"/>
    </row>
    <row r="233" ht="15.75" customHeight="1">
      <c r="K233" s="24"/>
    </row>
    <row r="234" ht="15.75" customHeight="1">
      <c r="K234" s="24"/>
    </row>
    <row r="235" ht="15.75" customHeight="1">
      <c r="K235" s="24"/>
    </row>
    <row r="236" ht="15.75" customHeight="1">
      <c r="K236" s="24"/>
    </row>
    <row r="237" ht="15.75" customHeight="1">
      <c r="K237" s="24"/>
    </row>
    <row r="238" ht="15.75" customHeight="1">
      <c r="K238" s="24"/>
    </row>
    <row r="239" ht="15.75" customHeight="1">
      <c r="K239" s="24"/>
    </row>
    <row r="240" ht="15.75" customHeight="1">
      <c r="K240" s="24"/>
    </row>
    <row r="241" ht="15.75" customHeight="1">
      <c r="K241" s="24"/>
    </row>
    <row r="242" ht="15.75" customHeight="1">
      <c r="K242" s="24"/>
    </row>
    <row r="243" ht="15.75" customHeight="1">
      <c r="K243" s="24"/>
    </row>
    <row r="244" ht="15.75" customHeight="1">
      <c r="K244" s="24"/>
    </row>
    <row r="245" ht="15.75" customHeight="1">
      <c r="K245" s="24"/>
    </row>
    <row r="246" ht="15.75" customHeight="1">
      <c r="K246" s="24"/>
    </row>
    <row r="247" ht="15.75" customHeight="1">
      <c r="K247" s="24"/>
    </row>
    <row r="248" ht="15.75" customHeight="1">
      <c r="K248" s="24"/>
    </row>
    <row r="249" ht="15.75" customHeight="1">
      <c r="K249" s="24"/>
    </row>
    <row r="250" ht="15.75" customHeight="1">
      <c r="K250" s="24"/>
    </row>
    <row r="251" ht="15.75" customHeight="1">
      <c r="K251" s="24"/>
    </row>
    <row r="252" ht="15.75" customHeight="1">
      <c r="K252" s="24"/>
    </row>
    <row r="253" ht="15.75" customHeight="1">
      <c r="K253" s="24"/>
    </row>
    <row r="254" ht="15.75" customHeight="1">
      <c r="K254" s="24"/>
    </row>
    <row r="255" ht="15.75" customHeight="1">
      <c r="K255" s="24"/>
    </row>
    <row r="256" ht="15.75" customHeight="1">
      <c r="K256" s="24"/>
    </row>
    <row r="257" ht="15.75" customHeight="1">
      <c r="K257" s="24"/>
    </row>
    <row r="258" ht="15.75" customHeight="1">
      <c r="K258" s="24"/>
    </row>
    <row r="259" ht="15.75" customHeight="1">
      <c r="K259" s="24"/>
    </row>
    <row r="260" ht="15.75" customHeight="1">
      <c r="K260" s="24"/>
    </row>
    <row r="261" ht="15.75" customHeight="1">
      <c r="K261" s="24"/>
    </row>
    <row r="262" ht="15.75" customHeight="1">
      <c r="K262" s="24"/>
    </row>
    <row r="263" ht="15.75" customHeight="1">
      <c r="K263" s="24"/>
    </row>
    <row r="264" ht="15.75" customHeight="1">
      <c r="K264" s="24"/>
    </row>
    <row r="265" ht="15.75" customHeight="1">
      <c r="K265" s="24"/>
    </row>
    <row r="266" ht="15.75" customHeight="1">
      <c r="K266" s="24"/>
    </row>
    <row r="267" ht="15.75" customHeight="1">
      <c r="K267" s="24"/>
    </row>
    <row r="268" ht="15.75" customHeight="1">
      <c r="K268" s="24"/>
    </row>
    <row r="269" ht="15.75" customHeight="1">
      <c r="K269" s="24"/>
    </row>
    <row r="270" ht="15.75" customHeight="1">
      <c r="K270" s="24"/>
    </row>
    <row r="271" ht="15.75" customHeight="1">
      <c r="K271" s="24"/>
    </row>
    <row r="272" ht="15.75" customHeight="1">
      <c r="K272" s="24"/>
    </row>
    <row r="273" ht="15.75" customHeight="1">
      <c r="K273" s="24"/>
    </row>
    <row r="274" ht="15.75" customHeight="1">
      <c r="K274" s="24"/>
    </row>
    <row r="275" ht="15.75" customHeight="1">
      <c r="K275" s="24"/>
    </row>
    <row r="276" ht="15.75" customHeight="1">
      <c r="K276" s="24"/>
    </row>
    <row r="277" ht="15.75" customHeight="1">
      <c r="K277" s="24"/>
    </row>
    <row r="278" ht="15.75" customHeight="1">
      <c r="K278" s="24"/>
    </row>
    <row r="279" ht="15.75" customHeight="1">
      <c r="K279" s="24"/>
    </row>
    <row r="280" ht="15.75" customHeight="1">
      <c r="K280" s="24"/>
    </row>
    <row r="281" ht="15.75" customHeight="1">
      <c r="K281" s="24"/>
    </row>
    <row r="282" ht="15.75" customHeight="1">
      <c r="K282" s="24"/>
    </row>
    <row r="283" ht="15.75" customHeight="1">
      <c r="K283" s="24"/>
    </row>
    <row r="284" ht="15.75" customHeight="1">
      <c r="K284" s="24"/>
    </row>
    <row r="285" ht="15.75" customHeight="1">
      <c r="K285" s="24"/>
    </row>
    <row r="286" ht="15.75" customHeight="1">
      <c r="K286" s="24"/>
    </row>
    <row r="287" ht="15.75" customHeight="1">
      <c r="K287" s="24"/>
    </row>
    <row r="288" ht="15.75" customHeight="1">
      <c r="K288" s="24"/>
    </row>
    <row r="289" ht="15.75" customHeight="1">
      <c r="K289" s="24"/>
    </row>
    <row r="290" ht="15.75" customHeight="1">
      <c r="K290" s="24"/>
    </row>
    <row r="291" ht="15.75" customHeight="1">
      <c r="K291" s="24"/>
    </row>
    <row r="292" ht="15.75" customHeight="1">
      <c r="K292" s="24"/>
    </row>
    <row r="293" ht="15.75" customHeight="1">
      <c r="K293" s="24"/>
    </row>
    <row r="294" ht="15.75" customHeight="1">
      <c r="K294" s="24"/>
    </row>
    <row r="295" ht="15.75" customHeight="1">
      <c r="K295" s="24"/>
    </row>
    <row r="296" ht="15.75" customHeight="1">
      <c r="K296" s="24"/>
    </row>
    <row r="297" ht="15.75" customHeight="1">
      <c r="K297" s="24"/>
    </row>
    <row r="298" ht="15.75" customHeight="1">
      <c r="K298" s="24"/>
    </row>
    <row r="299" ht="15.75" customHeight="1">
      <c r="K299" s="24"/>
    </row>
    <row r="300" ht="15.75" customHeight="1">
      <c r="K300" s="24"/>
    </row>
    <row r="301" ht="15.75" customHeight="1">
      <c r="K301" s="24"/>
    </row>
    <row r="302" ht="15.75" customHeight="1">
      <c r="K302" s="24"/>
    </row>
    <row r="303" ht="15.75" customHeight="1">
      <c r="K303" s="24"/>
    </row>
    <row r="304" ht="15.75" customHeight="1">
      <c r="K304" s="24"/>
    </row>
    <row r="305" ht="15.75" customHeight="1">
      <c r="K305" s="24"/>
    </row>
    <row r="306" ht="15.75" customHeight="1">
      <c r="K306" s="24"/>
    </row>
    <row r="307" ht="15.75" customHeight="1">
      <c r="K307" s="24"/>
    </row>
    <row r="308" ht="15.75" customHeight="1">
      <c r="K308" s="24"/>
    </row>
    <row r="309" ht="15.75" customHeight="1">
      <c r="K309" s="24"/>
    </row>
    <row r="310" ht="15.75" customHeight="1">
      <c r="K310" s="24"/>
    </row>
    <row r="311" ht="15.75" customHeight="1">
      <c r="K311" s="24"/>
    </row>
    <row r="312" ht="15.75" customHeight="1">
      <c r="K312" s="24"/>
    </row>
    <row r="313" ht="15.75" customHeight="1">
      <c r="K313" s="24"/>
    </row>
    <row r="314" ht="15.75" customHeight="1">
      <c r="K314" s="24"/>
    </row>
    <row r="315" ht="15.75" customHeight="1">
      <c r="K315" s="24"/>
    </row>
    <row r="316" ht="15.75" customHeight="1">
      <c r="K316" s="24"/>
    </row>
    <row r="317" ht="15.75" customHeight="1">
      <c r="K317" s="24"/>
    </row>
    <row r="318" ht="15.75" customHeight="1">
      <c r="K318" s="24"/>
    </row>
    <row r="319" ht="15.75" customHeight="1">
      <c r="K319" s="24"/>
    </row>
    <row r="320" ht="15.75" customHeight="1">
      <c r="K320" s="24"/>
    </row>
    <row r="321" ht="15.75" customHeight="1">
      <c r="K321" s="24"/>
    </row>
    <row r="322" ht="15.75" customHeight="1">
      <c r="K322" s="24"/>
    </row>
    <row r="323" ht="15.75" customHeight="1">
      <c r="K323" s="24"/>
    </row>
    <row r="324" ht="15.75" customHeight="1">
      <c r="K324" s="24"/>
    </row>
    <row r="325" ht="15.75" customHeight="1">
      <c r="K325" s="24"/>
    </row>
    <row r="326" ht="15.75" customHeight="1">
      <c r="K326" s="24"/>
    </row>
    <row r="327" ht="15.75" customHeight="1">
      <c r="K327" s="24"/>
    </row>
    <row r="328" ht="15.75" customHeight="1">
      <c r="K328" s="24"/>
    </row>
    <row r="329" ht="15.75" customHeight="1">
      <c r="K329" s="24"/>
    </row>
    <row r="330" ht="15.75" customHeight="1">
      <c r="K330" s="24"/>
    </row>
    <row r="331" ht="15.75" customHeight="1">
      <c r="K331" s="24"/>
    </row>
    <row r="332" ht="15.75" customHeight="1">
      <c r="K332" s="24"/>
    </row>
    <row r="333" ht="15.75" customHeight="1">
      <c r="K333" s="24"/>
    </row>
    <row r="334" ht="15.75" customHeight="1">
      <c r="K334" s="24"/>
    </row>
    <row r="335" ht="15.75" customHeight="1">
      <c r="K335" s="24"/>
    </row>
    <row r="336" ht="15.75" customHeight="1">
      <c r="K336" s="24"/>
    </row>
    <row r="337" ht="15.75" customHeight="1">
      <c r="K337" s="24"/>
    </row>
    <row r="338" ht="15.75" customHeight="1">
      <c r="K338" s="24"/>
    </row>
    <row r="339" ht="15.75" customHeight="1">
      <c r="K339" s="24"/>
    </row>
    <row r="340" ht="15.75" customHeight="1">
      <c r="K340" s="24"/>
    </row>
    <row r="341" ht="15.75" customHeight="1">
      <c r="K341" s="24"/>
    </row>
    <row r="342" ht="15.75" customHeight="1">
      <c r="K342" s="24"/>
    </row>
    <row r="343" ht="15.75" customHeight="1">
      <c r="K343" s="24"/>
    </row>
    <row r="344" ht="15.75" customHeight="1">
      <c r="K344" s="24"/>
    </row>
    <row r="345" ht="15.75" customHeight="1">
      <c r="K345" s="24"/>
    </row>
    <row r="346" ht="15.75" customHeight="1">
      <c r="K346" s="24"/>
    </row>
    <row r="347" ht="15.75" customHeight="1">
      <c r="K347" s="24"/>
    </row>
    <row r="348" ht="15.75" customHeight="1">
      <c r="K348" s="24"/>
    </row>
    <row r="349" ht="15.75" customHeight="1">
      <c r="K349" s="24"/>
    </row>
    <row r="350" ht="15.75" customHeight="1">
      <c r="K350" s="24"/>
    </row>
    <row r="351" ht="15.75" customHeight="1">
      <c r="K351" s="24"/>
    </row>
    <row r="352" ht="15.75" customHeight="1">
      <c r="K352" s="24"/>
    </row>
    <row r="353" ht="15.75" customHeight="1">
      <c r="K353" s="24"/>
    </row>
    <row r="354" ht="15.75" customHeight="1">
      <c r="K354" s="24"/>
    </row>
    <row r="355" ht="15.75" customHeight="1">
      <c r="K355" s="24"/>
    </row>
    <row r="356" ht="15.75" customHeight="1">
      <c r="K356" s="24"/>
    </row>
    <row r="357" ht="15.75" customHeight="1">
      <c r="K357" s="24"/>
    </row>
    <row r="358" ht="15.75" customHeight="1">
      <c r="K358" s="24"/>
    </row>
    <row r="359" ht="15.75" customHeight="1">
      <c r="K359" s="24"/>
    </row>
    <row r="360" ht="15.75" customHeight="1">
      <c r="K360" s="24"/>
    </row>
    <row r="361" ht="15.75" customHeight="1">
      <c r="K361" s="24"/>
    </row>
    <row r="362" ht="15.75" customHeight="1">
      <c r="K362" s="24"/>
    </row>
    <row r="363" ht="15.75" customHeight="1">
      <c r="K363" s="24"/>
    </row>
    <row r="364" ht="15.75" customHeight="1">
      <c r="K364" s="24"/>
    </row>
    <row r="365" ht="15.75" customHeight="1">
      <c r="K365" s="24"/>
    </row>
    <row r="366" ht="15.75" customHeight="1">
      <c r="K366" s="24"/>
    </row>
    <row r="367" ht="15.75" customHeight="1">
      <c r="K367" s="24"/>
    </row>
    <row r="368" ht="15.75" customHeight="1">
      <c r="K368" s="24"/>
    </row>
    <row r="369" ht="15.75" customHeight="1">
      <c r="K369" s="24"/>
    </row>
    <row r="370" ht="15.75" customHeight="1">
      <c r="K370" s="24"/>
    </row>
    <row r="371" ht="15.75" customHeight="1">
      <c r="K371" s="24"/>
    </row>
    <row r="372" ht="15.75" customHeight="1">
      <c r="K372" s="24"/>
    </row>
    <row r="373" ht="15.75" customHeight="1">
      <c r="K373" s="24"/>
    </row>
    <row r="374" ht="15.75" customHeight="1">
      <c r="K374" s="24"/>
    </row>
    <row r="375" ht="15.75" customHeight="1">
      <c r="K375" s="24"/>
    </row>
    <row r="376" ht="15.75" customHeight="1">
      <c r="K376" s="24"/>
    </row>
    <row r="377" ht="15.75" customHeight="1">
      <c r="K377" s="24"/>
    </row>
    <row r="378" ht="15.75" customHeight="1">
      <c r="K378" s="24"/>
    </row>
    <row r="379" ht="15.75" customHeight="1">
      <c r="K379" s="24"/>
    </row>
    <row r="380" ht="15.75" customHeight="1">
      <c r="K380" s="24"/>
    </row>
    <row r="381" ht="15.75" customHeight="1">
      <c r="K381" s="24"/>
    </row>
    <row r="382" ht="15.75" customHeight="1">
      <c r="K382" s="24"/>
    </row>
    <row r="383" ht="15.75" customHeight="1">
      <c r="K383" s="24"/>
    </row>
    <row r="384" ht="15.75" customHeight="1">
      <c r="K384" s="24"/>
    </row>
    <row r="385" ht="15.75" customHeight="1">
      <c r="K385" s="24"/>
    </row>
    <row r="386" ht="15.75" customHeight="1">
      <c r="K386" s="24"/>
    </row>
    <row r="387" ht="15.75" customHeight="1">
      <c r="K387" s="24"/>
    </row>
    <row r="388" ht="15.75" customHeight="1">
      <c r="K388" s="24"/>
    </row>
    <row r="389" ht="15.75" customHeight="1">
      <c r="K389" s="24"/>
    </row>
    <row r="390" ht="15.75" customHeight="1">
      <c r="K390" s="24"/>
    </row>
    <row r="391" ht="15.75" customHeight="1">
      <c r="K391" s="24"/>
    </row>
    <row r="392" ht="15.75" customHeight="1">
      <c r="K392" s="24"/>
    </row>
    <row r="393" ht="15.75" customHeight="1">
      <c r="K393" s="24"/>
    </row>
    <row r="394" ht="15.75" customHeight="1">
      <c r="K394" s="24"/>
    </row>
    <row r="395" ht="15.75" customHeight="1">
      <c r="K395" s="24"/>
    </row>
    <row r="396" ht="15.75" customHeight="1">
      <c r="K396" s="24"/>
    </row>
    <row r="397" ht="15.75" customHeight="1">
      <c r="K397" s="24"/>
    </row>
    <row r="398" ht="15.75" customHeight="1">
      <c r="K398" s="24"/>
    </row>
    <row r="399" ht="15.75" customHeight="1">
      <c r="K399" s="24"/>
    </row>
    <row r="400" ht="15.75" customHeight="1">
      <c r="K400" s="24"/>
    </row>
    <row r="401" ht="15.75" customHeight="1">
      <c r="K401" s="24"/>
    </row>
    <row r="402" ht="15.75" customHeight="1">
      <c r="K402" s="24"/>
    </row>
    <row r="403" ht="15.75" customHeight="1">
      <c r="K403" s="24"/>
    </row>
    <row r="404" ht="15.75" customHeight="1">
      <c r="K404" s="24"/>
    </row>
    <row r="405" ht="15.75" customHeight="1">
      <c r="K405" s="24"/>
    </row>
    <row r="406" ht="15.75" customHeight="1">
      <c r="K406" s="24"/>
    </row>
    <row r="407" ht="15.75" customHeight="1">
      <c r="K407" s="24"/>
    </row>
    <row r="408" ht="15.75" customHeight="1">
      <c r="K408" s="24"/>
    </row>
    <row r="409" ht="15.75" customHeight="1">
      <c r="K409" s="24"/>
    </row>
    <row r="410" ht="15.75" customHeight="1">
      <c r="K410" s="24"/>
    </row>
    <row r="411" ht="15.75" customHeight="1">
      <c r="K411" s="24"/>
    </row>
    <row r="412" ht="15.75" customHeight="1">
      <c r="K412" s="24"/>
    </row>
    <row r="413" ht="15.75" customHeight="1">
      <c r="K413" s="24"/>
    </row>
    <row r="414" ht="15.75" customHeight="1">
      <c r="K414" s="24"/>
    </row>
    <row r="415" ht="15.75" customHeight="1">
      <c r="K415" s="24"/>
    </row>
    <row r="416" ht="15.75" customHeight="1">
      <c r="K416" s="24"/>
    </row>
    <row r="417" ht="15.75" customHeight="1">
      <c r="K417" s="24"/>
    </row>
    <row r="418" ht="15.75" customHeight="1">
      <c r="K418" s="24"/>
    </row>
    <row r="419" ht="15.75" customHeight="1">
      <c r="K419" s="24"/>
    </row>
    <row r="420" ht="15.75" customHeight="1">
      <c r="K420" s="24"/>
    </row>
    <row r="421" ht="15.75" customHeight="1">
      <c r="K421" s="24"/>
    </row>
    <row r="422" ht="15.75" customHeight="1">
      <c r="K422" s="24"/>
    </row>
    <row r="423" ht="15.75" customHeight="1">
      <c r="K423" s="24"/>
    </row>
    <row r="424" ht="15.75" customHeight="1">
      <c r="K424" s="24"/>
    </row>
    <row r="425" ht="15.75" customHeight="1">
      <c r="K425" s="24"/>
    </row>
    <row r="426" ht="15.75" customHeight="1">
      <c r="K426" s="24"/>
    </row>
    <row r="427" ht="15.75" customHeight="1">
      <c r="K427" s="24"/>
    </row>
    <row r="428" ht="15.75" customHeight="1">
      <c r="K428" s="24"/>
    </row>
    <row r="429" ht="15.75" customHeight="1">
      <c r="K429" s="24"/>
    </row>
    <row r="430" ht="15.75" customHeight="1">
      <c r="K430" s="24"/>
    </row>
    <row r="431" ht="15.75" customHeight="1">
      <c r="K431" s="24"/>
    </row>
    <row r="432" ht="15.75" customHeight="1">
      <c r="K432" s="24"/>
    </row>
    <row r="433" ht="15.75" customHeight="1">
      <c r="K433" s="24"/>
    </row>
    <row r="434" ht="15.75" customHeight="1">
      <c r="K434" s="24"/>
    </row>
    <row r="435" ht="15.75" customHeight="1">
      <c r="K435" s="24"/>
    </row>
    <row r="436" ht="15.75" customHeight="1">
      <c r="K436" s="24"/>
    </row>
    <row r="437" ht="15.75" customHeight="1">
      <c r="K437" s="24"/>
    </row>
    <row r="438" ht="15.75" customHeight="1">
      <c r="K438" s="24"/>
    </row>
    <row r="439" ht="15.75" customHeight="1">
      <c r="K439" s="24"/>
    </row>
    <row r="440" ht="15.75" customHeight="1">
      <c r="K440" s="24"/>
    </row>
    <row r="441" ht="15.75" customHeight="1">
      <c r="K441" s="24"/>
    </row>
    <row r="442" ht="15.75" customHeight="1">
      <c r="K442" s="24"/>
    </row>
    <row r="443" ht="15.75" customHeight="1">
      <c r="K443" s="24"/>
    </row>
    <row r="444" ht="15.75" customHeight="1">
      <c r="K444" s="24"/>
    </row>
    <row r="445" ht="15.75" customHeight="1">
      <c r="K445" s="24"/>
    </row>
    <row r="446" ht="15.75" customHeight="1">
      <c r="K446" s="24"/>
    </row>
    <row r="447" ht="15.75" customHeight="1">
      <c r="K447" s="24"/>
    </row>
    <row r="448" ht="15.75" customHeight="1">
      <c r="K448" s="24"/>
    </row>
    <row r="449" ht="15.75" customHeight="1">
      <c r="K449" s="24"/>
    </row>
    <row r="450" ht="15.75" customHeight="1">
      <c r="K450" s="24"/>
    </row>
    <row r="451" ht="15.75" customHeight="1">
      <c r="K451" s="24"/>
    </row>
    <row r="452" ht="15.75" customHeight="1">
      <c r="K452" s="24"/>
    </row>
    <row r="453" ht="15.75" customHeight="1">
      <c r="K453" s="24"/>
    </row>
    <row r="454" ht="15.75" customHeight="1">
      <c r="K454" s="24"/>
    </row>
    <row r="455" ht="15.75" customHeight="1">
      <c r="K455" s="24"/>
    </row>
    <row r="456" ht="15.75" customHeight="1">
      <c r="K456" s="24"/>
    </row>
    <row r="457" ht="15.75" customHeight="1">
      <c r="K457" s="24"/>
    </row>
    <row r="458" ht="15.75" customHeight="1">
      <c r="K458" s="24"/>
    </row>
    <row r="459" ht="15.75" customHeight="1">
      <c r="K459" s="24"/>
    </row>
    <row r="460" ht="15.75" customHeight="1">
      <c r="K460" s="24"/>
    </row>
    <row r="461" ht="15.75" customHeight="1">
      <c r="K461" s="24"/>
    </row>
    <row r="462" ht="15.75" customHeight="1">
      <c r="K462" s="24"/>
    </row>
    <row r="463" ht="15.75" customHeight="1">
      <c r="K463" s="24"/>
    </row>
    <row r="464" ht="15.75" customHeight="1">
      <c r="K464" s="24"/>
    </row>
    <row r="465" ht="15.75" customHeight="1">
      <c r="K465" s="24"/>
    </row>
    <row r="466" ht="15.75" customHeight="1">
      <c r="K466" s="24"/>
    </row>
    <row r="467" ht="15.75" customHeight="1">
      <c r="K467" s="24"/>
    </row>
    <row r="468" ht="15.75" customHeight="1">
      <c r="K468" s="24"/>
    </row>
    <row r="469" ht="15.75" customHeight="1">
      <c r="K469" s="24"/>
    </row>
    <row r="470" ht="15.75" customHeight="1">
      <c r="K470" s="24"/>
    </row>
    <row r="471" ht="15.75" customHeight="1">
      <c r="K471" s="24"/>
    </row>
    <row r="472" ht="15.75" customHeight="1">
      <c r="K472" s="24"/>
    </row>
    <row r="473" ht="15.75" customHeight="1">
      <c r="K473" s="24"/>
    </row>
    <row r="474" ht="15.75" customHeight="1">
      <c r="K474" s="24"/>
    </row>
    <row r="475" ht="15.75" customHeight="1">
      <c r="K475" s="24"/>
    </row>
    <row r="476" ht="15.75" customHeight="1">
      <c r="K476" s="24"/>
    </row>
    <row r="477" ht="15.75" customHeight="1">
      <c r="K477" s="24"/>
    </row>
    <row r="478" ht="15.75" customHeight="1">
      <c r="K478" s="24"/>
    </row>
    <row r="479" ht="15.75" customHeight="1">
      <c r="K479" s="24"/>
    </row>
    <row r="480" ht="15.75" customHeight="1">
      <c r="K480" s="24"/>
    </row>
    <row r="481" ht="15.75" customHeight="1">
      <c r="K481" s="24"/>
    </row>
    <row r="482" ht="15.75" customHeight="1">
      <c r="K482" s="24"/>
    </row>
    <row r="483" ht="15.75" customHeight="1">
      <c r="K483" s="24"/>
    </row>
    <row r="484" ht="15.75" customHeight="1">
      <c r="K484" s="24"/>
    </row>
    <row r="485" ht="15.75" customHeight="1">
      <c r="K485" s="24"/>
    </row>
    <row r="486" ht="15.75" customHeight="1">
      <c r="K486" s="24"/>
    </row>
    <row r="487" ht="15.75" customHeight="1">
      <c r="K487" s="24"/>
    </row>
    <row r="488" ht="15.75" customHeight="1">
      <c r="K488" s="24"/>
    </row>
    <row r="489" ht="15.75" customHeight="1">
      <c r="K489" s="24"/>
    </row>
    <row r="490" ht="15.75" customHeight="1">
      <c r="K490" s="24"/>
    </row>
    <row r="491" ht="15.75" customHeight="1">
      <c r="K491" s="24"/>
    </row>
    <row r="492" ht="15.75" customHeight="1">
      <c r="K492" s="24"/>
    </row>
    <row r="493" ht="15.75" customHeight="1">
      <c r="K493" s="24"/>
    </row>
    <row r="494" ht="15.75" customHeight="1">
      <c r="K494" s="24"/>
    </row>
    <row r="495" ht="15.75" customHeight="1">
      <c r="K495" s="24"/>
    </row>
    <row r="496" ht="15.75" customHeight="1">
      <c r="K496" s="24"/>
    </row>
    <row r="497" ht="15.75" customHeight="1">
      <c r="K497" s="24"/>
    </row>
    <row r="498" ht="15.75" customHeight="1">
      <c r="K498" s="24"/>
    </row>
    <row r="499" ht="15.75" customHeight="1">
      <c r="K499" s="24"/>
    </row>
    <row r="500" ht="15.75" customHeight="1">
      <c r="K500" s="24"/>
    </row>
    <row r="501" ht="15.75" customHeight="1">
      <c r="K501" s="24"/>
    </row>
    <row r="502" ht="15.75" customHeight="1">
      <c r="K502" s="24"/>
    </row>
    <row r="503" ht="15.75" customHeight="1">
      <c r="K503" s="24"/>
    </row>
    <row r="504" ht="15.75" customHeight="1">
      <c r="K504" s="24"/>
    </row>
    <row r="505" ht="15.75" customHeight="1">
      <c r="K505" s="24"/>
    </row>
    <row r="506" ht="15.75" customHeight="1">
      <c r="K506" s="24"/>
    </row>
    <row r="507" ht="15.75" customHeight="1">
      <c r="K507" s="24"/>
    </row>
    <row r="508" ht="15.75" customHeight="1">
      <c r="K508" s="24"/>
    </row>
    <row r="509" ht="15.75" customHeight="1">
      <c r="K509" s="24"/>
    </row>
    <row r="510" ht="15.75" customHeight="1">
      <c r="K510" s="24"/>
    </row>
    <row r="511" ht="15.75" customHeight="1">
      <c r="K511" s="24"/>
    </row>
    <row r="512" ht="15.75" customHeight="1">
      <c r="K512" s="24"/>
    </row>
    <row r="513" ht="15.75" customHeight="1">
      <c r="K513" s="24"/>
    </row>
    <row r="514" ht="15.75" customHeight="1">
      <c r="K514" s="24"/>
    </row>
    <row r="515" ht="15.75" customHeight="1">
      <c r="K515" s="24"/>
    </row>
    <row r="516" ht="15.75" customHeight="1">
      <c r="K516" s="24"/>
    </row>
    <row r="517" ht="15.75" customHeight="1">
      <c r="K517" s="24"/>
    </row>
    <row r="518" ht="15.75" customHeight="1">
      <c r="K518" s="24"/>
    </row>
    <row r="519" ht="15.75" customHeight="1">
      <c r="K519" s="24"/>
    </row>
    <row r="520" ht="15.75" customHeight="1">
      <c r="K520" s="24"/>
    </row>
    <row r="521" ht="15.75" customHeight="1">
      <c r="K521" s="24"/>
    </row>
    <row r="522" ht="15.75" customHeight="1">
      <c r="K522" s="24"/>
    </row>
    <row r="523" ht="15.75" customHeight="1">
      <c r="K523" s="24"/>
    </row>
    <row r="524" ht="15.75" customHeight="1">
      <c r="K524" s="24"/>
    </row>
    <row r="525" ht="15.75" customHeight="1">
      <c r="K525" s="24"/>
    </row>
    <row r="526" ht="15.75" customHeight="1">
      <c r="K526" s="24"/>
    </row>
    <row r="527" ht="15.75" customHeight="1">
      <c r="K527" s="24"/>
    </row>
    <row r="528" ht="15.75" customHeight="1">
      <c r="K528" s="24"/>
    </row>
    <row r="529" ht="15.75" customHeight="1">
      <c r="K529" s="24"/>
    </row>
    <row r="530" ht="15.75" customHeight="1">
      <c r="K530" s="24"/>
    </row>
    <row r="531" ht="15.75" customHeight="1">
      <c r="K531" s="24"/>
    </row>
    <row r="532" ht="15.75" customHeight="1">
      <c r="K532" s="24"/>
    </row>
    <row r="533" ht="15.75" customHeight="1">
      <c r="K533" s="24"/>
    </row>
    <row r="534" ht="15.75" customHeight="1">
      <c r="K534" s="24"/>
    </row>
    <row r="535" ht="15.75" customHeight="1">
      <c r="K535" s="24"/>
    </row>
    <row r="536" ht="15.75" customHeight="1">
      <c r="K536" s="24"/>
    </row>
    <row r="537" ht="15.75" customHeight="1">
      <c r="K537" s="24"/>
    </row>
    <row r="538" ht="15.75" customHeight="1">
      <c r="K538" s="24"/>
    </row>
    <row r="539" ht="15.75" customHeight="1">
      <c r="K539" s="24"/>
    </row>
    <row r="540" ht="15.75" customHeight="1">
      <c r="K540" s="24"/>
    </row>
    <row r="541" ht="15.75" customHeight="1">
      <c r="K541" s="24"/>
    </row>
    <row r="542" ht="15.75" customHeight="1">
      <c r="K542" s="24"/>
    </row>
    <row r="543" ht="15.75" customHeight="1">
      <c r="K543" s="24"/>
    </row>
    <row r="544" ht="15.75" customHeight="1">
      <c r="K544" s="24"/>
    </row>
    <row r="545" ht="15.75" customHeight="1">
      <c r="K545" s="24"/>
    </row>
    <row r="546" ht="15.75" customHeight="1">
      <c r="K546" s="24"/>
    </row>
    <row r="547" ht="15.75" customHeight="1">
      <c r="K547" s="24"/>
    </row>
    <row r="548" ht="15.75" customHeight="1">
      <c r="K548" s="24"/>
    </row>
    <row r="549" ht="15.75" customHeight="1">
      <c r="K549" s="24"/>
    </row>
    <row r="550" ht="15.75" customHeight="1">
      <c r="K550" s="24"/>
    </row>
    <row r="551" ht="15.75" customHeight="1">
      <c r="K551" s="24"/>
    </row>
    <row r="552" ht="15.75" customHeight="1">
      <c r="K552" s="24"/>
    </row>
    <row r="553" ht="15.75" customHeight="1">
      <c r="K553" s="24"/>
    </row>
    <row r="554" ht="15.75" customHeight="1">
      <c r="K554" s="24"/>
    </row>
    <row r="555" ht="15.75" customHeight="1">
      <c r="K555" s="24"/>
    </row>
    <row r="556" ht="15.75" customHeight="1">
      <c r="K556" s="24"/>
    </row>
    <row r="557" ht="15.75" customHeight="1">
      <c r="K557" s="24"/>
    </row>
    <row r="558" ht="15.75" customHeight="1">
      <c r="K558" s="24"/>
    </row>
    <row r="559" ht="15.75" customHeight="1">
      <c r="K559" s="24"/>
    </row>
    <row r="560" ht="15.75" customHeight="1">
      <c r="K560" s="24"/>
    </row>
    <row r="561" ht="15.75" customHeight="1">
      <c r="K561" s="24"/>
    </row>
    <row r="562" ht="15.75" customHeight="1">
      <c r="K562" s="24"/>
    </row>
    <row r="563" ht="15.75" customHeight="1">
      <c r="K563" s="24"/>
    </row>
    <row r="564" ht="15.75" customHeight="1">
      <c r="K564" s="24"/>
    </row>
    <row r="565" ht="15.75" customHeight="1">
      <c r="K565" s="24"/>
    </row>
    <row r="566" ht="15.75" customHeight="1">
      <c r="K566" s="24"/>
    </row>
    <row r="567" ht="15.75" customHeight="1">
      <c r="K567" s="24"/>
    </row>
    <row r="568" ht="15.75" customHeight="1">
      <c r="K568" s="24"/>
    </row>
    <row r="569" ht="15.75" customHeight="1">
      <c r="K569" s="24"/>
    </row>
    <row r="570" ht="15.75" customHeight="1">
      <c r="K570" s="24"/>
    </row>
    <row r="571" ht="15.75" customHeight="1">
      <c r="K571" s="24"/>
    </row>
    <row r="572" ht="15.75" customHeight="1">
      <c r="K572" s="24"/>
    </row>
    <row r="573" ht="15.75" customHeight="1">
      <c r="K573" s="24"/>
    </row>
    <row r="574" ht="15.75" customHeight="1">
      <c r="K574" s="24"/>
    </row>
    <row r="575" ht="15.75" customHeight="1">
      <c r="K575" s="24"/>
    </row>
    <row r="576" ht="15.75" customHeight="1">
      <c r="K576" s="24"/>
    </row>
    <row r="577" ht="15.75" customHeight="1">
      <c r="K577" s="24"/>
    </row>
    <row r="578" ht="15.75" customHeight="1">
      <c r="K578" s="24"/>
    </row>
    <row r="579" ht="15.75" customHeight="1">
      <c r="K579" s="24"/>
    </row>
    <row r="580" ht="15.75" customHeight="1">
      <c r="K580" s="24"/>
    </row>
    <row r="581" ht="15.75" customHeight="1">
      <c r="K581" s="24"/>
    </row>
    <row r="582" ht="15.75" customHeight="1">
      <c r="K582" s="24"/>
    </row>
    <row r="583" ht="15.75" customHeight="1">
      <c r="K583" s="24"/>
    </row>
    <row r="584" ht="15.75" customHeight="1">
      <c r="K584" s="24"/>
    </row>
    <row r="585" ht="15.75" customHeight="1">
      <c r="K585" s="24"/>
    </row>
    <row r="586" ht="15.75" customHeight="1">
      <c r="K586" s="24"/>
    </row>
    <row r="587" ht="15.75" customHeight="1">
      <c r="K587" s="24"/>
    </row>
    <row r="588" ht="15.75" customHeight="1">
      <c r="K588" s="24"/>
    </row>
    <row r="589" ht="15.75" customHeight="1">
      <c r="K589" s="24"/>
    </row>
    <row r="590" ht="15.75" customHeight="1">
      <c r="K590" s="24"/>
    </row>
    <row r="591" ht="15.75" customHeight="1">
      <c r="K591" s="24"/>
    </row>
    <row r="592" ht="15.75" customHeight="1">
      <c r="K592" s="24"/>
    </row>
    <row r="593" ht="15.75" customHeight="1">
      <c r="K593" s="24"/>
    </row>
    <row r="594" ht="15.75" customHeight="1">
      <c r="K594" s="24"/>
    </row>
    <row r="595" ht="15.75" customHeight="1">
      <c r="K595" s="24"/>
    </row>
    <row r="596" ht="15.75" customHeight="1">
      <c r="K596" s="24"/>
    </row>
    <row r="597" ht="15.75" customHeight="1">
      <c r="K597" s="24"/>
    </row>
    <row r="598" ht="15.75" customHeight="1">
      <c r="K598" s="24"/>
    </row>
    <row r="599" ht="15.75" customHeight="1">
      <c r="K599" s="24"/>
    </row>
    <row r="600" ht="15.75" customHeight="1">
      <c r="K600" s="24"/>
    </row>
    <row r="601" ht="15.75" customHeight="1">
      <c r="K601" s="24"/>
    </row>
    <row r="602" ht="15.75" customHeight="1">
      <c r="K602" s="24"/>
    </row>
    <row r="603" ht="15.75" customHeight="1">
      <c r="K603" s="24"/>
    </row>
    <row r="604" ht="15.75" customHeight="1">
      <c r="K604" s="24"/>
    </row>
    <row r="605" ht="15.75" customHeight="1">
      <c r="K605" s="24"/>
    </row>
    <row r="606" ht="15.75" customHeight="1">
      <c r="K606" s="24"/>
    </row>
    <row r="607" ht="15.75" customHeight="1">
      <c r="K607" s="24"/>
    </row>
    <row r="608" ht="15.75" customHeight="1">
      <c r="K608" s="24"/>
    </row>
    <row r="609" ht="15.75" customHeight="1">
      <c r="K609" s="24"/>
    </row>
    <row r="610" ht="15.75" customHeight="1">
      <c r="K610" s="24"/>
    </row>
    <row r="611" ht="15.75" customHeight="1">
      <c r="K611" s="24"/>
    </row>
    <row r="612" ht="15.75" customHeight="1">
      <c r="K612" s="24"/>
    </row>
    <row r="613" ht="15.75" customHeight="1">
      <c r="K613" s="24"/>
    </row>
    <row r="614" ht="15.75" customHeight="1">
      <c r="K614" s="24"/>
    </row>
    <row r="615" ht="15.75" customHeight="1">
      <c r="K615" s="24"/>
    </row>
    <row r="616" ht="15.75" customHeight="1">
      <c r="K616" s="24"/>
    </row>
    <row r="617" ht="15.75" customHeight="1">
      <c r="K617" s="24"/>
    </row>
    <row r="618" ht="15.75" customHeight="1">
      <c r="K618" s="24"/>
    </row>
    <row r="619" ht="15.75" customHeight="1">
      <c r="K619" s="24"/>
    </row>
    <row r="620" ht="15.75" customHeight="1">
      <c r="K620" s="24"/>
    </row>
    <row r="621" ht="15.75" customHeight="1">
      <c r="K621" s="24"/>
    </row>
    <row r="622" ht="15.75" customHeight="1">
      <c r="K622" s="24"/>
    </row>
    <row r="623" ht="15.75" customHeight="1">
      <c r="K623" s="24"/>
    </row>
    <row r="624" ht="15.75" customHeight="1">
      <c r="K624" s="24"/>
    </row>
    <row r="625" ht="15.75" customHeight="1">
      <c r="K625" s="24"/>
    </row>
    <row r="626" ht="15.75" customHeight="1">
      <c r="K626" s="24"/>
    </row>
    <row r="627" ht="15.75" customHeight="1">
      <c r="K627" s="24"/>
    </row>
    <row r="628" ht="15.75" customHeight="1">
      <c r="K628" s="24"/>
    </row>
    <row r="629" ht="15.75" customHeight="1">
      <c r="K629" s="24"/>
    </row>
    <row r="630" ht="15.75" customHeight="1">
      <c r="K630" s="24"/>
    </row>
    <row r="631" ht="15.75" customHeight="1">
      <c r="K631" s="24"/>
    </row>
    <row r="632" ht="15.75" customHeight="1">
      <c r="K632" s="24"/>
    </row>
    <row r="633" ht="15.75" customHeight="1">
      <c r="K633" s="24"/>
    </row>
    <row r="634" ht="15.75" customHeight="1">
      <c r="K634" s="24"/>
    </row>
    <row r="635" ht="15.75" customHeight="1">
      <c r="K635" s="24"/>
    </row>
    <row r="636" ht="15.75" customHeight="1">
      <c r="K636" s="24"/>
    </row>
    <row r="637" ht="15.75" customHeight="1">
      <c r="K637" s="24"/>
    </row>
    <row r="638" ht="15.75" customHeight="1">
      <c r="K638" s="24"/>
    </row>
    <row r="639" ht="15.75" customHeight="1">
      <c r="K639" s="24"/>
    </row>
    <row r="640" ht="15.75" customHeight="1">
      <c r="K640" s="24"/>
    </row>
    <row r="641" ht="15.75" customHeight="1">
      <c r="K641" s="24"/>
    </row>
    <row r="642" ht="15.75" customHeight="1">
      <c r="K642" s="24"/>
    </row>
    <row r="643" ht="15.75" customHeight="1">
      <c r="K643" s="24"/>
    </row>
    <row r="644" ht="15.75" customHeight="1">
      <c r="K644" s="24"/>
    </row>
    <row r="645" ht="15.75" customHeight="1">
      <c r="K645" s="24"/>
    </row>
    <row r="646" ht="15.75" customHeight="1">
      <c r="K646" s="24"/>
    </row>
    <row r="647" ht="15.75" customHeight="1">
      <c r="K647" s="24"/>
    </row>
    <row r="648" ht="15.75" customHeight="1">
      <c r="K648" s="24"/>
    </row>
    <row r="649" ht="15.75" customHeight="1">
      <c r="K649" s="24"/>
    </row>
    <row r="650" ht="15.75" customHeight="1">
      <c r="K650" s="24"/>
    </row>
    <row r="651" ht="15.75" customHeight="1">
      <c r="K651" s="24"/>
    </row>
    <row r="652" ht="15.75" customHeight="1">
      <c r="K652" s="24"/>
    </row>
    <row r="653" ht="15.75" customHeight="1">
      <c r="K653" s="24"/>
    </row>
    <row r="654" ht="15.75" customHeight="1">
      <c r="K654" s="24"/>
    </row>
    <row r="655" ht="15.75" customHeight="1">
      <c r="K655" s="24"/>
    </row>
    <row r="656" ht="15.75" customHeight="1">
      <c r="K656" s="24"/>
    </row>
    <row r="657" ht="15.75" customHeight="1">
      <c r="K657" s="24"/>
    </row>
    <row r="658" ht="15.75" customHeight="1">
      <c r="K658" s="24"/>
    </row>
    <row r="659" ht="15.75" customHeight="1">
      <c r="K659" s="24"/>
    </row>
    <row r="660" ht="15.75" customHeight="1">
      <c r="K660" s="24"/>
    </row>
    <row r="661" ht="15.75" customHeight="1">
      <c r="K661" s="24"/>
    </row>
    <row r="662" ht="15.75" customHeight="1">
      <c r="K662" s="24"/>
    </row>
    <row r="663" ht="15.75" customHeight="1">
      <c r="K663" s="24"/>
    </row>
    <row r="664" ht="15.75" customHeight="1">
      <c r="K664" s="24"/>
    </row>
    <row r="665" ht="15.75" customHeight="1">
      <c r="K665" s="24"/>
    </row>
    <row r="666" ht="15.75" customHeight="1">
      <c r="K666" s="24"/>
    </row>
    <row r="667" ht="15.75" customHeight="1">
      <c r="K667" s="24"/>
    </row>
    <row r="668" ht="15.75" customHeight="1">
      <c r="K668" s="24"/>
    </row>
    <row r="669" ht="15.75" customHeight="1">
      <c r="K669" s="24"/>
    </row>
    <row r="670" ht="15.75" customHeight="1">
      <c r="K670" s="24"/>
    </row>
    <row r="671" ht="15.75" customHeight="1">
      <c r="K671" s="24"/>
    </row>
    <row r="672" ht="15.75" customHeight="1">
      <c r="K672" s="24"/>
    </row>
    <row r="673" ht="15.75" customHeight="1">
      <c r="K673" s="24"/>
    </row>
    <row r="674" ht="15.75" customHeight="1">
      <c r="K674" s="24"/>
    </row>
    <row r="675" ht="15.75" customHeight="1">
      <c r="K675" s="24"/>
    </row>
    <row r="676" ht="15.75" customHeight="1">
      <c r="K676" s="24"/>
    </row>
    <row r="677" ht="15.75" customHeight="1">
      <c r="K677" s="24"/>
    </row>
    <row r="678" ht="15.75" customHeight="1">
      <c r="K678" s="24"/>
    </row>
    <row r="679" ht="15.75" customHeight="1">
      <c r="K679" s="24"/>
    </row>
    <row r="680" ht="15.75" customHeight="1">
      <c r="K680" s="24"/>
    </row>
    <row r="681" ht="15.75" customHeight="1">
      <c r="K681" s="24"/>
    </row>
    <row r="682" ht="15.75" customHeight="1">
      <c r="K682" s="24"/>
    </row>
    <row r="683" ht="15.75" customHeight="1">
      <c r="K683" s="24"/>
    </row>
    <row r="684" ht="15.75" customHeight="1">
      <c r="K684" s="24"/>
    </row>
    <row r="685" ht="15.75" customHeight="1">
      <c r="K685" s="24"/>
    </row>
    <row r="686" ht="15.75" customHeight="1">
      <c r="K686" s="24"/>
    </row>
    <row r="687" ht="15.75" customHeight="1">
      <c r="K687" s="24"/>
    </row>
    <row r="688" ht="15.75" customHeight="1">
      <c r="K688" s="24"/>
    </row>
    <row r="689" ht="15.75" customHeight="1">
      <c r="K689" s="24"/>
    </row>
    <row r="690" ht="15.75" customHeight="1">
      <c r="K690" s="24"/>
    </row>
    <row r="691" ht="15.75" customHeight="1">
      <c r="K691" s="24"/>
    </row>
    <row r="692" ht="15.75" customHeight="1">
      <c r="K692" s="24"/>
    </row>
    <row r="693" ht="15.75" customHeight="1">
      <c r="K693" s="24"/>
    </row>
    <row r="694" ht="15.75" customHeight="1">
      <c r="K694" s="24"/>
    </row>
    <row r="695" ht="15.75" customHeight="1">
      <c r="K695" s="24"/>
    </row>
    <row r="696" ht="15.75" customHeight="1">
      <c r="K696" s="24"/>
    </row>
    <row r="697" ht="15.75" customHeight="1">
      <c r="K697" s="24"/>
    </row>
    <row r="698" ht="15.75" customHeight="1">
      <c r="K698" s="24"/>
    </row>
    <row r="699" ht="15.75" customHeight="1">
      <c r="K699" s="24"/>
    </row>
    <row r="700" ht="15.75" customHeight="1">
      <c r="K700" s="24"/>
    </row>
    <row r="701" ht="15.75" customHeight="1">
      <c r="K701" s="24"/>
    </row>
    <row r="702" ht="15.75" customHeight="1">
      <c r="K702" s="24"/>
    </row>
    <row r="703" ht="15.75" customHeight="1">
      <c r="K703" s="24"/>
    </row>
    <row r="704" ht="15.75" customHeight="1">
      <c r="K704" s="24"/>
    </row>
    <row r="705" ht="15.75" customHeight="1">
      <c r="K705" s="24"/>
    </row>
    <row r="706" ht="15.75" customHeight="1">
      <c r="K706" s="24"/>
    </row>
    <row r="707" ht="15.75" customHeight="1">
      <c r="K707" s="24"/>
    </row>
    <row r="708" ht="15.75" customHeight="1">
      <c r="K708" s="24"/>
    </row>
    <row r="709" ht="15.75" customHeight="1">
      <c r="K709" s="24"/>
    </row>
    <row r="710" ht="15.75" customHeight="1">
      <c r="K710" s="24"/>
    </row>
    <row r="711" ht="15.75" customHeight="1">
      <c r="K711" s="24"/>
    </row>
    <row r="712" ht="15.75" customHeight="1">
      <c r="K712" s="24"/>
    </row>
    <row r="713" ht="15.75" customHeight="1">
      <c r="K713" s="24"/>
    </row>
    <row r="714" ht="15.75" customHeight="1">
      <c r="K714" s="24"/>
    </row>
    <row r="715" ht="15.75" customHeight="1">
      <c r="K715" s="24"/>
    </row>
    <row r="716" ht="15.75" customHeight="1">
      <c r="K716" s="24"/>
    </row>
    <row r="717" ht="15.75" customHeight="1">
      <c r="K717" s="24"/>
    </row>
    <row r="718" ht="15.75" customHeight="1">
      <c r="K718" s="24"/>
    </row>
    <row r="719" ht="15.75" customHeight="1">
      <c r="K719" s="24"/>
    </row>
    <row r="720" ht="15.75" customHeight="1">
      <c r="K720" s="24"/>
    </row>
    <row r="721" ht="15.75" customHeight="1">
      <c r="K721" s="24"/>
    </row>
    <row r="722" ht="15.75" customHeight="1">
      <c r="K722" s="24"/>
    </row>
    <row r="723" ht="15.75" customHeight="1">
      <c r="K723" s="24"/>
    </row>
    <row r="724" ht="15.75" customHeight="1">
      <c r="K724" s="24"/>
    </row>
    <row r="725" ht="15.75" customHeight="1">
      <c r="K725" s="24"/>
    </row>
    <row r="726" ht="15.75" customHeight="1">
      <c r="K726" s="24"/>
    </row>
    <row r="727" ht="15.75" customHeight="1">
      <c r="K727" s="24"/>
    </row>
    <row r="728" ht="15.75" customHeight="1">
      <c r="K728" s="24"/>
    </row>
    <row r="729" ht="15.75" customHeight="1">
      <c r="K729" s="24"/>
    </row>
    <row r="730" ht="15.75" customHeight="1">
      <c r="K730" s="24"/>
    </row>
    <row r="731" ht="15.75" customHeight="1">
      <c r="K731" s="24"/>
    </row>
    <row r="732" ht="15.75" customHeight="1">
      <c r="K732" s="24"/>
    </row>
    <row r="733" ht="15.75" customHeight="1">
      <c r="K733" s="24"/>
    </row>
    <row r="734" ht="15.75" customHeight="1">
      <c r="K734" s="24"/>
    </row>
    <row r="735" ht="15.75" customHeight="1">
      <c r="K735" s="24"/>
    </row>
    <row r="736" ht="15.75" customHeight="1">
      <c r="K736" s="24"/>
    </row>
    <row r="737" ht="15.75" customHeight="1">
      <c r="K737" s="24"/>
    </row>
    <row r="738" ht="15.75" customHeight="1">
      <c r="K738" s="24"/>
    </row>
    <row r="739" ht="15.75" customHeight="1">
      <c r="K739" s="24"/>
    </row>
    <row r="740" ht="15.75" customHeight="1">
      <c r="K740" s="24"/>
    </row>
    <row r="741" ht="15.75" customHeight="1">
      <c r="K741" s="24"/>
    </row>
    <row r="742" ht="15.75" customHeight="1">
      <c r="K742" s="24"/>
    </row>
    <row r="743" ht="15.75" customHeight="1">
      <c r="K743" s="24"/>
    </row>
    <row r="744" ht="15.75" customHeight="1">
      <c r="K744" s="24"/>
    </row>
    <row r="745" ht="15.75" customHeight="1">
      <c r="K745" s="24"/>
    </row>
    <row r="746" ht="15.75" customHeight="1">
      <c r="K746" s="24"/>
    </row>
    <row r="747" ht="15.75" customHeight="1">
      <c r="K747" s="24"/>
    </row>
    <row r="748" ht="15.75" customHeight="1">
      <c r="K748" s="24"/>
    </row>
    <row r="749" ht="15.75" customHeight="1">
      <c r="K749" s="24"/>
    </row>
    <row r="750" ht="15.75" customHeight="1">
      <c r="K750" s="24"/>
    </row>
    <row r="751" ht="15.75" customHeight="1">
      <c r="K751" s="24"/>
    </row>
    <row r="752" ht="15.75" customHeight="1">
      <c r="K752" s="24"/>
    </row>
    <row r="753" ht="15.75" customHeight="1">
      <c r="K753" s="24"/>
    </row>
    <row r="754" ht="15.75" customHeight="1">
      <c r="K754" s="24"/>
    </row>
    <row r="755" ht="15.75" customHeight="1">
      <c r="K755" s="24"/>
    </row>
    <row r="756" ht="15.75" customHeight="1">
      <c r="K756" s="24"/>
    </row>
    <row r="757" ht="15.75" customHeight="1">
      <c r="K757" s="24"/>
    </row>
    <row r="758" ht="15.75" customHeight="1">
      <c r="K758" s="24"/>
    </row>
    <row r="759" ht="15.75" customHeight="1">
      <c r="K759" s="24"/>
    </row>
    <row r="760" ht="15.75" customHeight="1">
      <c r="K760" s="24"/>
    </row>
    <row r="761" ht="15.75" customHeight="1">
      <c r="K761" s="24"/>
    </row>
    <row r="762" ht="15.75" customHeight="1">
      <c r="K762" s="24"/>
    </row>
    <row r="763" ht="15.75" customHeight="1">
      <c r="K763" s="24"/>
    </row>
    <row r="764" ht="15.75" customHeight="1">
      <c r="K764" s="24"/>
    </row>
    <row r="765" ht="15.75" customHeight="1">
      <c r="K765" s="24"/>
    </row>
    <row r="766" ht="15.75" customHeight="1">
      <c r="K766" s="24"/>
    </row>
    <row r="767" ht="15.75" customHeight="1">
      <c r="K767" s="24"/>
    </row>
    <row r="768" ht="15.75" customHeight="1">
      <c r="K768" s="24"/>
    </row>
    <row r="769" ht="15.75" customHeight="1">
      <c r="K769" s="24"/>
    </row>
    <row r="770" ht="15.75" customHeight="1">
      <c r="K770" s="24"/>
    </row>
    <row r="771" ht="15.75" customHeight="1">
      <c r="K771" s="24"/>
    </row>
    <row r="772" ht="15.75" customHeight="1">
      <c r="K772" s="24"/>
    </row>
    <row r="773" ht="15.75" customHeight="1">
      <c r="K773" s="24"/>
    </row>
    <row r="774" ht="15.75" customHeight="1">
      <c r="K774" s="24"/>
    </row>
    <row r="775" ht="15.75" customHeight="1">
      <c r="K775" s="24"/>
    </row>
    <row r="776" ht="15.75" customHeight="1">
      <c r="K776" s="24"/>
    </row>
    <row r="777" ht="15.75" customHeight="1">
      <c r="K777" s="24"/>
    </row>
    <row r="778" ht="15.75" customHeight="1">
      <c r="K778" s="24"/>
    </row>
    <row r="779" ht="15.75" customHeight="1">
      <c r="K779" s="24"/>
    </row>
    <row r="780" ht="15.75" customHeight="1">
      <c r="K780" s="24"/>
    </row>
    <row r="781" ht="15.75" customHeight="1">
      <c r="K781" s="24"/>
    </row>
    <row r="782" ht="15.75" customHeight="1">
      <c r="K782" s="24"/>
    </row>
    <row r="783" ht="15.75" customHeight="1">
      <c r="K783" s="24"/>
    </row>
    <row r="784" ht="15.75" customHeight="1">
      <c r="K784" s="24"/>
    </row>
    <row r="785" ht="15.75" customHeight="1">
      <c r="K785" s="24"/>
    </row>
    <row r="786" ht="15.75" customHeight="1">
      <c r="K786" s="24"/>
    </row>
    <row r="787" ht="15.75" customHeight="1">
      <c r="K787" s="24"/>
    </row>
    <row r="788" ht="15.75" customHeight="1">
      <c r="K788" s="24"/>
    </row>
    <row r="789" ht="15.75" customHeight="1">
      <c r="K789" s="24"/>
    </row>
    <row r="790" ht="15.75" customHeight="1">
      <c r="K790" s="24"/>
    </row>
    <row r="791" ht="15.75" customHeight="1">
      <c r="K791" s="24"/>
    </row>
    <row r="792" ht="15.75" customHeight="1">
      <c r="K792" s="24"/>
    </row>
    <row r="793" ht="15.75" customHeight="1">
      <c r="K793" s="24"/>
    </row>
    <row r="794" ht="15.75" customHeight="1">
      <c r="K794" s="24"/>
    </row>
    <row r="795" ht="15.75" customHeight="1">
      <c r="K795" s="24"/>
    </row>
    <row r="796" ht="15.75" customHeight="1">
      <c r="K796" s="24"/>
    </row>
    <row r="797" ht="15.75" customHeight="1">
      <c r="K797" s="24"/>
    </row>
    <row r="798" ht="15.75" customHeight="1">
      <c r="K798" s="24"/>
    </row>
    <row r="799" ht="15.75" customHeight="1">
      <c r="K799" s="24"/>
    </row>
    <row r="800" ht="15.75" customHeight="1">
      <c r="K800" s="24"/>
    </row>
    <row r="801" ht="15.75" customHeight="1">
      <c r="K801" s="24"/>
    </row>
    <row r="802" ht="15.75" customHeight="1">
      <c r="K802" s="24"/>
    </row>
    <row r="803" ht="15.75" customHeight="1">
      <c r="K803" s="24"/>
    </row>
    <row r="804" ht="15.75" customHeight="1">
      <c r="K804" s="24"/>
    </row>
    <row r="805" ht="15.75" customHeight="1">
      <c r="K805" s="24"/>
    </row>
    <row r="806" ht="15.75" customHeight="1">
      <c r="K806" s="24"/>
    </row>
    <row r="807" ht="15.75" customHeight="1">
      <c r="K807" s="24"/>
    </row>
    <row r="808" ht="15.75" customHeight="1">
      <c r="K808" s="24"/>
    </row>
    <row r="809" ht="15.75" customHeight="1">
      <c r="K809" s="24"/>
    </row>
    <row r="810" ht="15.75" customHeight="1">
      <c r="K810" s="24"/>
    </row>
    <row r="811" ht="15.75" customHeight="1">
      <c r="K811" s="24"/>
    </row>
    <row r="812" ht="15.75" customHeight="1">
      <c r="K812" s="24"/>
    </row>
    <row r="813" ht="15.75" customHeight="1">
      <c r="K813" s="24"/>
    </row>
    <row r="814" ht="15.75" customHeight="1">
      <c r="K814" s="24"/>
    </row>
    <row r="815" ht="15.75" customHeight="1">
      <c r="K815" s="24"/>
    </row>
    <row r="816" ht="15.75" customHeight="1">
      <c r="K816" s="24"/>
    </row>
    <row r="817" ht="15.75" customHeight="1">
      <c r="K817" s="24"/>
    </row>
    <row r="818" ht="15.75" customHeight="1">
      <c r="K818" s="24"/>
    </row>
    <row r="819" ht="15.75" customHeight="1">
      <c r="K819" s="24"/>
    </row>
    <row r="820" ht="15.75" customHeight="1">
      <c r="K820" s="24"/>
    </row>
    <row r="821" ht="15.75" customHeight="1">
      <c r="K821" s="24"/>
    </row>
    <row r="822" ht="15.75" customHeight="1">
      <c r="K822" s="24"/>
    </row>
    <row r="823" ht="15.75" customHeight="1">
      <c r="K823" s="24"/>
    </row>
    <row r="824" ht="15.75" customHeight="1">
      <c r="K824" s="24"/>
    </row>
    <row r="825" ht="15.75" customHeight="1">
      <c r="K825" s="24"/>
    </row>
    <row r="826" ht="15.75" customHeight="1">
      <c r="K826" s="24"/>
    </row>
    <row r="827" ht="15.75" customHeight="1">
      <c r="K827" s="24"/>
    </row>
    <row r="828" ht="15.75" customHeight="1">
      <c r="K828" s="24"/>
    </row>
    <row r="829" ht="15.75" customHeight="1">
      <c r="K829" s="24"/>
    </row>
    <row r="830" ht="15.75" customHeight="1">
      <c r="K830" s="24"/>
    </row>
    <row r="831" ht="15.75" customHeight="1">
      <c r="K831" s="24"/>
    </row>
    <row r="832" ht="15.75" customHeight="1">
      <c r="K832" s="24"/>
    </row>
    <row r="833" ht="15.75" customHeight="1">
      <c r="K833" s="24"/>
    </row>
    <row r="834" ht="15.75" customHeight="1">
      <c r="K834" s="24"/>
    </row>
    <row r="835" ht="15.75" customHeight="1">
      <c r="K835" s="24"/>
    </row>
    <row r="836" ht="15.75" customHeight="1">
      <c r="K836" s="24"/>
    </row>
    <row r="837" ht="15.75" customHeight="1">
      <c r="K837" s="24"/>
    </row>
    <row r="838" ht="15.75" customHeight="1">
      <c r="K838" s="24"/>
    </row>
    <row r="839" ht="15.75" customHeight="1">
      <c r="K839" s="24"/>
    </row>
    <row r="840" ht="15.75" customHeight="1">
      <c r="K840" s="24"/>
    </row>
    <row r="841" ht="15.75" customHeight="1">
      <c r="K841" s="24"/>
    </row>
    <row r="842" ht="15.75" customHeight="1">
      <c r="K842" s="24"/>
    </row>
    <row r="843" ht="15.75" customHeight="1">
      <c r="K843" s="24"/>
    </row>
    <row r="844" ht="15.75" customHeight="1">
      <c r="K844" s="24"/>
    </row>
    <row r="845" ht="15.75" customHeight="1">
      <c r="K845" s="24"/>
    </row>
    <row r="846" ht="15.75" customHeight="1">
      <c r="K846" s="24"/>
    </row>
    <row r="847" ht="15.75" customHeight="1">
      <c r="K847" s="24"/>
    </row>
    <row r="848" ht="15.75" customHeight="1">
      <c r="K848" s="24"/>
    </row>
    <row r="849" ht="15.75" customHeight="1">
      <c r="K849" s="24"/>
    </row>
    <row r="850" ht="15.75" customHeight="1">
      <c r="K850" s="24"/>
    </row>
    <row r="851" ht="15.75" customHeight="1">
      <c r="K851" s="24"/>
    </row>
    <row r="852" ht="15.75" customHeight="1">
      <c r="K852" s="24"/>
    </row>
    <row r="853" ht="15.75" customHeight="1">
      <c r="K853" s="24"/>
    </row>
    <row r="854" ht="15.75" customHeight="1">
      <c r="K854" s="24"/>
    </row>
    <row r="855" ht="15.75" customHeight="1">
      <c r="K855" s="24"/>
    </row>
    <row r="856" ht="15.75" customHeight="1">
      <c r="K856" s="24"/>
    </row>
    <row r="857" ht="15.75" customHeight="1">
      <c r="K857" s="24"/>
    </row>
    <row r="858" ht="15.75" customHeight="1">
      <c r="K858" s="24"/>
    </row>
    <row r="859" ht="15.75" customHeight="1">
      <c r="K859" s="24"/>
    </row>
    <row r="860" ht="15.75" customHeight="1">
      <c r="K860" s="24"/>
    </row>
    <row r="861" ht="15.75" customHeight="1">
      <c r="K861" s="24"/>
    </row>
    <row r="862" ht="15.75" customHeight="1">
      <c r="K862" s="24"/>
    </row>
    <row r="863" ht="15.75" customHeight="1">
      <c r="K863" s="24"/>
    </row>
    <row r="864" ht="15.75" customHeight="1">
      <c r="K864" s="24"/>
    </row>
    <row r="865" ht="15.75" customHeight="1">
      <c r="K865" s="24"/>
    </row>
    <row r="866" ht="15.75" customHeight="1">
      <c r="K866" s="24"/>
    </row>
    <row r="867" ht="15.75" customHeight="1">
      <c r="K867" s="24"/>
    </row>
    <row r="868" ht="15.75" customHeight="1">
      <c r="K868" s="24"/>
    </row>
    <row r="869" ht="15.75" customHeight="1">
      <c r="K869" s="24"/>
    </row>
    <row r="870" ht="15.75" customHeight="1">
      <c r="K870" s="24"/>
    </row>
    <row r="871" ht="15.75" customHeight="1">
      <c r="K871" s="24"/>
    </row>
    <row r="872" ht="15.75" customHeight="1">
      <c r="K872" s="24"/>
    </row>
    <row r="873" ht="15.75" customHeight="1">
      <c r="K873" s="24"/>
    </row>
    <row r="874" ht="15.75" customHeight="1">
      <c r="K874" s="24"/>
    </row>
    <row r="875" ht="15.75" customHeight="1">
      <c r="K875" s="24"/>
    </row>
    <row r="876" ht="15.75" customHeight="1">
      <c r="K876" s="24"/>
    </row>
    <row r="877" ht="15.75" customHeight="1">
      <c r="K877" s="24"/>
    </row>
    <row r="878" ht="15.75" customHeight="1">
      <c r="K878" s="24"/>
    </row>
    <row r="879" ht="15.75" customHeight="1">
      <c r="K879" s="24"/>
    </row>
    <row r="880" ht="15.75" customHeight="1">
      <c r="K880" s="24"/>
    </row>
    <row r="881" ht="15.75" customHeight="1">
      <c r="K881" s="24"/>
    </row>
    <row r="882" ht="15.75" customHeight="1">
      <c r="K882" s="24"/>
    </row>
    <row r="883" ht="15.75" customHeight="1">
      <c r="K883" s="24"/>
    </row>
    <row r="884" ht="15.75" customHeight="1">
      <c r="K884" s="24"/>
    </row>
    <row r="885" ht="15.75" customHeight="1">
      <c r="K885" s="24"/>
    </row>
    <row r="886" ht="15.75" customHeight="1">
      <c r="K886" s="24"/>
    </row>
    <row r="887" ht="15.75" customHeight="1">
      <c r="K887" s="24"/>
    </row>
    <row r="888" ht="15.75" customHeight="1">
      <c r="K888" s="24"/>
    </row>
    <row r="889" ht="15.75" customHeight="1">
      <c r="K889" s="24"/>
    </row>
    <row r="890" ht="15.75" customHeight="1">
      <c r="K890" s="24"/>
    </row>
    <row r="891" ht="15.75" customHeight="1">
      <c r="K891" s="24"/>
    </row>
    <row r="892" ht="15.75" customHeight="1">
      <c r="K892" s="24"/>
    </row>
    <row r="893" ht="15.75" customHeight="1">
      <c r="K893" s="24"/>
    </row>
    <row r="894" ht="15.75" customHeight="1">
      <c r="K894" s="24"/>
    </row>
    <row r="895" ht="15.75" customHeight="1">
      <c r="K895" s="24"/>
    </row>
    <row r="896" ht="15.75" customHeight="1">
      <c r="K896" s="24"/>
    </row>
    <row r="897" ht="15.75" customHeight="1">
      <c r="K897" s="24"/>
    </row>
    <row r="898" ht="15.75" customHeight="1">
      <c r="K898" s="24"/>
    </row>
    <row r="899" ht="15.75" customHeight="1">
      <c r="K899" s="24"/>
    </row>
    <row r="900" ht="15.75" customHeight="1">
      <c r="K900" s="24"/>
    </row>
    <row r="901" ht="15.75" customHeight="1">
      <c r="K901" s="24"/>
    </row>
    <row r="902" ht="15.75" customHeight="1">
      <c r="K902" s="24"/>
    </row>
    <row r="903" ht="15.75" customHeight="1">
      <c r="K903" s="24"/>
    </row>
    <row r="904" ht="15.75" customHeight="1">
      <c r="K904" s="24"/>
    </row>
    <row r="905" ht="15.75" customHeight="1">
      <c r="K905" s="24"/>
    </row>
    <row r="906" ht="15.75" customHeight="1">
      <c r="K906" s="24"/>
    </row>
    <row r="907" ht="15.75" customHeight="1">
      <c r="K907" s="24"/>
    </row>
    <row r="908" ht="15.75" customHeight="1">
      <c r="K908" s="24"/>
    </row>
    <row r="909" ht="15.75" customHeight="1">
      <c r="K909" s="24"/>
    </row>
    <row r="910" ht="15.75" customHeight="1">
      <c r="K910" s="24"/>
    </row>
    <row r="911" ht="15.75" customHeight="1">
      <c r="K911" s="24"/>
    </row>
    <row r="912" ht="15.75" customHeight="1">
      <c r="K912" s="24"/>
    </row>
    <row r="913" ht="15.75" customHeight="1">
      <c r="K913" s="24"/>
    </row>
    <row r="914" ht="15.75" customHeight="1">
      <c r="K914" s="24"/>
    </row>
    <row r="915" ht="15.75" customHeight="1">
      <c r="K915" s="24"/>
    </row>
    <row r="916" ht="15.75" customHeight="1">
      <c r="K916" s="24"/>
    </row>
    <row r="917" ht="15.75" customHeight="1">
      <c r="K917" s="24"/>
    </row>
    <row r="918" ht="15.75" customHeight="1">
      <c r="K918" s="24"/>
    </row>
    <row r="919" ht="15.75" customHeight="1">
      <c r="K919" s="24"/>
    </row>
    <row r="920" ht="15.75" customHeight="1">
      <c r="K920" s="24"/>
    </row>
    <row r="921" ht="15.75" customHeight="1">
      <c r="K921" s="24"/>
    </row>
    <row r="922" ht="15.75" customHeight="1">
      <c r="K922" s="24"/>
    </row>
    <row r="923" ht="15.75" customHeight="1">
      <c r="K923" s="24"/>
    </row>
    <row r="924" ht="15.75" customHeight="1">
      <c r="K924" s="24"/>
    </row>
    <row r="925" ht="15.75" customHeight="1">
      <c r="K925" s="24"/>
    </row>
    <row r="926" ht="15.75" customHeight="1">
      <c r="K926" s="24"/>
    </row>
    <row r="927" ht="15.75" customHeight="1">
      <c r="K927" s="24"/>
    </row>
    <row r="928" ht="15.75" customHeight="1">
      <c r="K928" s="24"/>
    </row>
    <row r="929" ht="15.75" customHeight="1">
      <c r="K929" s="24"/>
    </row>
    <row r="930" ht="15.75" customHeight="1">
      <c r="K930" s="24"/>
    </row>
    <row r="931" ht="15.75" customHeight="1">
      <c r="K931" s="24"/>
    </row>
    <row r="932" ht="15.75" customHeight="1">
      <c r="K932" s="24"/>
    </row>
    <row r="933" ht="15.75" customHeight="1">
      <c r="K933" s="24"/>
    </row>
    <row r="934" ht="15.75" customHeight="1">
      <c r="K934" s="24"/>
    </row>
    <row r="935" ht="15.75" customHeight="1">
      <c r="K935" s="24"/>
    </row>
    <row r="936" ht="15.75" customHeight="1">
      <c r="K936" s="24"/>
    </row>
    <row r="937" ht="15.75" customHeight="1">
      <c r="K937" s="24"/>
    </row>
    <row r="938" ht="15.75" customHeight="1">
      <c r="K938" s="24"/>
    </row>
    <row r="939" ht="15.75" customHeight="1">
      <c r="K939" s="24"/>
    </row>
    <row r="940" ht="15.75" customHeight="1">
      <c r="K940" s="24"/>
    </row>
    <row r="941" ht="15.75" customHeight="1">
      <c r="K941" s="24"/>
    </row>
    <row r="942" ht="15.75" customHeight="1">
      <c r="K942" s="24"/>
    </row>
    <row r="943" ht="15.75" customHeight="1">
      <c r="K943" s="24"/>
    </row>
    <row r="944" ht="15.75" customHeight="1">
      <c r="K944" s="24"/>
    </row>
    <row r="945" ht="15.75" customHeight="1">
      <c r="K945" s="24"/>
    </row>
    <row r="946" ht="15.75" customHeight="1">
      <c r="K946" s="24"/>
    </row>
    <row r="947" ht="15.75" customHeight="1">
      <c r="K947" s="24"/>
    </row>
    <row r="948" ht="15.75" customHeight="1">
      <c r="K948" s="24"/>
    </row>
    <row r="949" ht="15.75" customHeight="1">
      <c r="K949" s="24"/>
    </row>
    <row r="950" ht="15.75" customHeight="1">
      <c r="K950" s="24"/>
    </row>
    <row r="951" ht="15.75" customHeight="1">
      <c r="K951" s="24"/>
    </row>
    <row r="952" ht="15.75" customHeight="1">
      <c r="K952" s="24"/>
    </row>
    <row r="953" ht="15.75" customHeight="1">
      <c r="K953" s="24"/>
    </row>
    <row r="954" ht="15.75" customHeight="1">
      <c r="K954" s="24"/>
    </row>
    <row r="955" ht="15.75" customHeight="1">
      <c r="K955" s="24"/>
    </row>
    <row r="956" ht="15.75" customHeight="1">
      <c r="K956" s="24"/>
    </row>
    <row r="957" ht="15.75" customHeight="1">
      <c r="K957" s="24"/>
    </row>
    <row r="958" ht="15.75" customHeight="1">
      <c r="K958" s="24"/>
    </row>
    <row r="959" ht="15.75" customHeight="1">
      <c r="K959" s="24"/>
    </row>
    <row r="960" ht="15.75" customHeight="1">
      <c r="K960" s="24"/>
    </row>
    <row r="961" ht="15.75" customHeight="1">
      <c r="K961" s="24"/>
    </row>
    <row r="962" ht="15.75" customHeight="1">
      <c r="K962" s="24"/>
    </row>
    <row r="963" ht="15.75" customHeight="1">
      <c r="K963" s="24"/>
    </row>
    <row r="964" ht="15.75" customHeight="1">
      <c r="K964" s="24"/>
    </row>
    <row r="965" ht="15.75" customHeight="1">
      <c r="K965" s="24"/>
    </row>
    <row r="966" ht="15.75" customHeight="1">
      <c r="K966" s="24"/>
    </row>
    <row r="967" ht="15.75" customHeight="1">
      <c r="K967" s="24"/>
    </row>
    <row r="968" ht="15.75" customHeight="1">
      <c r="K968" s="24"/>
    </row>
    <row r="969" ht="15.75" customHeight="1">
      <c r="K969" s="24"/>
    </row>
    <row r="970" ht="15.75" customHeight="1">
      <c r="K970" s="24"/>
    </row>
    <row r="971" ht="15.75" customHeight="1">
      <c r="K971" s="24"/>
    </row>
    <row r="972" ht="15.75" customHeight="1">
      <c r="K972" s="24"/>
    </row>
    <row r="973" ht="15.75" customHeight="1">
      <c r="K973" s="24"/>
    </row>
    <row r="974" ht="15.75" customHeight="1">
      <c r="K974" s="24"/>
    </row>
    <row r="975" ht="15.75" customHeight="1">
      <c r="K975" s="24"/>
    </row>
    <row r="976" ht="15.75" customHeight="1">
      <c r="K976" s="24"/>
    </row>
    <row r="977" ht="15.75" customHeight="1">
      <c r="K977" s="24"/>
    </row>
    <row r="978" ht="15.75" customHeight="1">
      <c r="K978" s="24"/>
    </row>
    <row r="979" ht="15.75" customHeight="1">
      <c r="K979" s="24"/>
    </row>
    <row r="980" ht="15.75" customHeight="1">
      <c r="K980" s="24"/>
    </row>
    <row r="981" ht="15.75" customHeight="1">
      <c r="K981" s="24"/>
    </row>
    <row r="982" ht="15.75" customHeight="1">
      <c r="K982" s="24"/>
    </row>
    <row r="983" ht="15.75" customHeight="1">
      <c r="K983" s="24"/>
    </row>
    <row r="984" ht="15.75" customHeight="1">
      <c r="K984" s="24"/>
    </row>
    <row r="985" ht="15.75" customHeight="1">
      <c r="K985" s="24"/>
    </row>
    <row r="986" ht="15.75" customHeight="1">
      <c r="K986" s="24"/>
    </row>
    <row r="987" ht="15.75" customHeight="1">
      <c r="K987" s="24"/>
    </row>
    <row r="988" ht="15.75" customHeight="1">
      <c r="K988" s="24"/>
    </row>
    <row r="989" ht="15.75" customHeight="1">
      <c r="K989" s="24"/>
    </row>
    <row r="990" ht="15.75" customHeight="1">
      <c r="K990" s="24"/>
    </row>
    <row r="991" ht="15.75" customHeight="1">
      <c r="K991" s="24"/>
    </row>
    <row r="992" ht="15.75" customHeight="1">
      <c r="K992" s="24"/>
    </row>
    <row r="993" ht="15.75" customHeight="1">
      <c r="K993" s="24"/>
    </row>
    <row r="994" ht="15.75" customHeight="1">
      <c r="K994" s="24"/>
    </row>
    <row r="995" ht="15.75" customHeight="1">
      <c r="K995" s="24"/>
    </row>
    <row r="996" ht="15.75" customHeight="1">
      <c r="K996" s="24"/>
    </row>
    <row r="997" ht="15.75" customHeight="1">
      <c r="K997" s="24"/>
    </row>
    <row r="998" ht="15.75" customHeight="1">
      <c r="K998" s="24"/>
    </row>
    <row r="999" ht="15.75" customHeight="1">
      <c r="K999" s="24"/>
    </row>
    <row r="1000" ht="15.75" customHeight="1">
      <c r="K1000" s="24"/>
    </row>
  </sheetData>
  <mergeCells count="4">
    <mergeCell ref="A1:D1"/>
    <mergeCell ref="G14:J14"/>
    <mergeCell ref="J22:J23"/>
    <mergeCell ref="A30:D3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6.14"/>
    <col customWidth="1" min="3" max="3" width="21.29"/>
    <col customWidth="1" min="4" max="4" width="23.0"/>
    <col customWidth="1" min="5" max="6" width="8.71"/>
    <col customWidth="1" min="7" max="7" width="36.71"/>
    <col customWidth="1" min="8" max="8" width="13.71"/>
    <col customWidth="1" min="9" max="9" width="8.71"/>
    <col customWidth="1" min="10" max="10" width="19.71"/>
    <col customWidth="1" min="11" max="11" width="8.86"/>
    <col customWidth="1" min="12" max="12" width="8.71"/>
    <col customWidth="1" min="13" max="13" width="20.43"/>
    <col customWidth="1" min="14" max="14" width="11.43"/>
    <col customWidth="1" min="15" max="26" width="8.71"/>
  </cols>
  <sheetData>
    <row r="1">
      <c r="A1" s="1" t="s">
        <v>0</v>
      </c>
      <c r="B1" s="2"/>
      <c r="C1" s="2"/>
      <c r="D1" s="3"/>
      <c r="G1" s="4" t="s">
        <v>1</v>
      </c>
      <c r="H1" s="5">
        <f>MAR!H7</f>
        <v>20232.5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G2" s="4" t="s">
        <v>6</v>
      </c>
      <c r="H2" s="31">
        <v>41357.0</v>
      </c>
    </row>
    <row r="3" ht="17.25" customHeight="1">
      <c r="A3" s="14" t="s">
        <v>74</v>
      </c>
      <c r="B3" s="14" t="s">
        <v>75</v>
      </c>
      <c r="C3" s="9">
        <f>DATE(2022,3,29)</f>
        <v>44649</v>
      </c>
      <c r="D3" s="14">
        <v>1144.84</v>
      </c>
      <c r="G3" s="32" t="s">
        <v>76</v>
      </c>
      <c r="H3" s="33">
        <v>81.0</v>
      </c>
    </row>
    <row r="4">
      <c r="A4" s="8" t="s">
        <v>25</v>
      </c>
      <c r="B4" s="8" t="s">
        <v>26</v>
      </c>
      <c r="C4" s="9">
        <f>DATE(2022,3,30)</f>
        <v>44650</v>
      </c>
      <c r="D4" s="8">
        <v>99.0</v>
      </c>
    </row>
    <row r="5">
      <c r="A5" s="8" t="s">
        <v>43</v>
      </c>
      <c r="B5" s="8" t="s">
        <v>8</v>
      </c>
      <c r="C5" s="9">
        <f t="shared" ref="C5:C9" si="1">DATE(2022,3,31)</f>
        <v>44651</v>
      </c>
      <c r="D5" s="8">
        <v>2350.0</v>
      </c>
    </row>
    <row r="6">
      <c r="A6" s="8" t="s">
        <v>10</v>
      </c>
      <c r="B6" s="8" t="s">
        <v>46</v>
      </c>
      <c r="C6" s="9">
        <f t="shared" si="1"/>
        <v>44651</v>
      </c>
      <c r="D6" s="14">
        <v>5000.0</v>
      </c>
      <c r="G6" s="4" t="s">
        <v>13</v>
      </c>
      <c r="H6" s="23">
        <f>SUM(H1:H4)</f>
        <v>61670.5</v>
      </c>
    </row>
    <row r="7">
      <c r="A7" s="8" t="s">
        <v>22</v>
      </c>
      <c r="B7" s="8" t="s">
        <v>46</v>
      </c>
      <c r="C7" s="9">
        <f t="shared" si="1"/>
        <v>44651</v>
      </c>
      <c r="D7" s="8">
        <v>5000.0</v>
      </c>
    </row>
    <row r="8">
      <c r="A8" s="8" t="s">
        <v>44</v>
      </c>
      <c r="B8" s="8" t="s">
        <v>24</v>
      </c>
      <c r="C8" s="9">
        <f t="shared" si="1"/>
        <v>44651</v>
      </c>
      <c r="D8" s="14">
        <v>3318.0</v>
      </c>
      <c r="G8" s="4" t="s">
        <v>16</v>
      </c>
      <c r="H8" s="13">
        <f>H6 - (D31)</f>
        <v>17960.66</v>
      </c>
    </row>
    <row r="9">
      <c r="A9" s="14" t="s">
        <v>77</v>
      </c>
      <c r="B9" s="14" t="s">
        <v>48</v>
      </c>
      <c r="C9" s="9">
        <f t="shared" si="1"/>
        <v>44651</v>
      </c>
      <c r="D9" s="14">
        <v>1337.0</v>
      </c>
      <c r="G9" s="4" t="s">
        <v>45</v>
      </c>
      <c r="H9" s="34">
        <f>H8 - D54</f>
        <v>17310.66</v>
      </c>
    </row>
    <row r="10">
      <c r="A10" s="14" t="s">
        <v>78</v>
      </c>
      <c r="B10" s="14" t="s">
        <v>48</v>
      </c>
      <c r="C10" s="9">
        <f>DATE(2022,4,10)</f>
        <v>44661</v>
      </c>
      <c r="D10" s="14">
        <v>2000.0</v>
      </c>
    </row>
    <row r="11">
      <c r="A11" s="8" t="s">
        <v>12</v>
      </c>
      <c r="B11" s="8" t="s">
        <v>8</v>
      </c>
      <c r="C11" s="9">
        <f t="shared" ref="C11:C14" si="2">DATE(2022,4,1)</f>
        <v>44652</v>
      </c>
      <c r="D11" s="8">
        <v>1300.0</v>
      </c>
    </row>
    <row r="12">
      <c r="A12" s="14" t="s">
        <v>79</v>
      </c>
      <c r="B12" s="14" t="s">
        <v>8</v>
      </c>
      <c r="C12" s="9">
        <f t="shared" si="2"/>
        <v>44652</v>
      </c>
      <c r="D12" s="14">
        <v>13000.0</v>
      </c>
    </row>
    <row r="13">
      <c r="A13" s="8" t="s">
        <v>47</v>
      </c>
      <c r="B13" s="8" t="s">
        <v>48</v>
      </c>
      <c r="C13" s="9">
        <f t="shared" si="2"/>
        <v>44652</v>
      </c>
      <c r="D13" s="8">
        <v>1000.0</v>
      </c>
    </row>
    <row r="14">
      <c r="A14" s="14" t="s">
        <v>80</v>
      </c>
      <c r="B14" s="14" t="s">
        <v>52</v>
      </c>
      <c r="C14" s="9">
        <f t="shared" si="2"/>
        <v>44652</v>
      </c>
      <c r="D14" s="14">
        <v>1400.0</v>
      </c>
    </row>
    <row r="15">
      <c r="A15" s="14" t="s">
        <v>81</v>
      </c>
      <c r="B15" s="14" t="s">
        <v>52</v>
      </c>
      <c r="C15" s="9">
        <f>DATE(2022,4,2)</f>
        <v>44653</v>
      </c>
      <c r="D15" s="14">
        <v>3478.0</v>
      </c>
    </row>
    <row r="16">
      <c r="A16" s="14" t="s">
        <v>32</v>
      </c>
      <c r="B16" s="8" t="s">
        <v>26</v>
      </c>
      <c r="C16" s="9">
        <f t="shared" ref="C16:C17" si="3">DATE(2022,3,30)</f>
        <v>44650</v>
      </c>
      <c r="D16" s="14">
        <v>155.0</v>
      </c>
    </row>
    <row r="17">
      <c r="A17" s="14" t="s">
        <v>29</v>
      </c>
      <c r="B17" s="8" t="s">
        <v>26</v>
      </c>
      <c r="C17" s="9">
        <f t="shared" si="3"/>
        <v>44650</v>
      </c>
      <c r="D17" s="14">
        <v>155.0</v>
      </c>
    </row>
    <row r="18">
      <c r="A18" s="35" t="s">
        <v>31</v>
      </c>
      <c r="B18" s="36" t="s">
        <v>26</v>
      </c>
      <c r="C18" s="37">
        <f>DATE(2022,4,11)</f>
        <v>44662</v>
      </c>
      <c r="D18" s="38">
        <v>99.0</v>
      </c>
    </row>
    <row r="19">
      <c r="A19" s="8" t="s">
        <v>60</v>
      </c>
      <c r="B19" s="8" t="s">
        <v>24</v>
      </c>
      <c r="C19" s="37">
        <f>DATE(2022,4,14)</f>
        <v>44665</v>
      </c>
      <c r="D19" s="8">
        <v>1357.0</v>
      </c>
    </row>
    <row r="20">
      <c r="A20" s="14" t="s">
        <v>82</v>
      </c>
      <c r="B20" s="14" t="s">
        <v>52</v>
      </c>
      <c r="C20" s="37">
        <f>DATE(2022,4,11)</f>
        <v>44662</v>
      </c>
      <c r="D20" s="14">
        <v>180.0</v>
      </c>
    </row>
    <row r="21" ht="15.75" customHeight="1">
      <c r="A21" s="14" t="s">
        <v>83</v>
      </c>
      <c r="B21" s="8" t="s">
        <v>48</v>
      </c>
      <c r="C21" s="9">
        <f>DATE(2022,4,18)</f>
        <v>44669</v>
      </c>
      <c r="D21" s="14">
        <v>330.0</v>
      </c>
    </row>
    <row r="22" ht="15.75" customHeight="1">
      <c r="A22" s="14" t="s">
        <v>84</v>
      </c>
      <c r="B22" s="14" t="s">
        <v>85</v>
      </c>
      <c r="C22" s="9">
        <f>DATE(2022,4,27)</f>
        <v>44678</v>
      </c>
      <c r="D22" s="14">
        <v>900.0</v>
      </c>
    </row>
    <row r="23" ht="15.75" customHeight="1">
      <c r="A23" s="8" t="s">
        <v>25</v>
      </c>
      <c r="B23" s="8" t="s">
        <v>26</v>
      </c>
      <c r="C23" s="9">
        <f>DATE(2022,4,26)</f>
        <v>44677</v>
      </c>
      <c r="D23" s="8">
        <v>99.0</v>
      </c>
    </row>
    <row r="24" ht="15.75" customHeight="1">
      <c r="A24" s="14" t="s">
        <v>86</v>
      </c>
      <c r="D24" s="14">
        <v>8.0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C31" s="8" t="s">
        <v>37</v>
      </c>
      <c r="D31" s="29">
        <f>SUM(D3:D29)</f>
        <v>43709.84</v>
      </c>
    </row>
    <row r="32" ht="15.75" customHeight="1"/>
    <row r="33" ht="15.75" customHeight="1"/>
    <row r="34" ht="15.75" customHeight="1">
      <c r="A34" s="17" t="s">
        <v>38</v>
      </c>
      <c r="B34" s="2"/>
      <c r="C34" s="2"/>
      <c r="D34" s="3"/>
    </row>
    <row r="35" ht="15.75" customHeight="1">
      <c r="A35" s="6" t="s">
        <v>2</v>
      </c>
      <c r="B35" s="6" t="s">
        <v>3</v>
      </c>
      <c r="C35" s="6"/>
      <c r="D35" s="6" t="s">
        <v>5</v>
      </c>
    </row>
    <row r="36" ht="15.75" customHeight="1"/>
    <row r="37" ht="15.75" customHeight="1">
      <c r="C37" s="9"/>
    </row>
    <row r="38" ht="15.75" customHeight="1">
      <c r="A38" s="14" t="s">
        <v>87</v>
      </c>
      <c r="B38" s="8" t="s">
        <v>8</v>
      </c>
      <c r="D38" s="14">
        <v>650.0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C49" s="9"/>
    </row>
    <row r="50" ht="15.75" customHeight="1"/>
    <row r="51" ht="15.75" customHeight="1"/>
    <row r="52" ht="15.75" customHeight="1"/>
    <row r="53" ht="15.75" customHeight="1"/>
    <row r="54" ht="15.75" customHeight="1">
      <c r="C54" s="8" t="s">
        <v>39</v>
      </c>
      <c r="D54" s="19">
        <f>SUM(D36:D52)</f>
        <v>650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4:D3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6.14"/>
    <col customWidth="1" min="3" max="3" width="21.29"/>
    <col customWidth="1" min="4" max="4" width="28.43"/>
    <col customWidth="1" min="5" max="9" width="8.71"/>
    <col customWidth="1" min="10" max="10" width="39.29"/>
    <col customWidth="1" min="11" max="11" width="18.14"/>
    <col customWidth="1" min="12" max="26" width="8.71"/>
  </cols>
  <sheetData>
    <row r="1">
      <c r="A1" s="1" t="s">
        <v>0</v>
      </c>
      <c r="B1" s="2"/>
      <c r="C1" s="2"/>
      <c r="D1" s="3"/>
      <c r="J1" s="4" t="s">
        <v>1</v>
      </c>
      <c r="K1" s="5">
        <f>APR!H8</f>
        <v>17960.66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40000.0</v>
      </c>
    </row>
    <row r="3" ht="17.25" customHeight="1">
      <c r="A3" s="14" t="s">
        <v>88</v>
      </c>
      <c r="B3" s="14" t="s">
        <v>34</v>
      </c>
      <c r="C3" s="9">
        <f>DATE(2022,4,29)</f>
        <v>44680</v>
      </c>
      <c r="D3" s="14">
        <v>239.0</v>
      </c>
      <c r="J3" s="4" t="s">
        <v>13</v>
      </c>
      <c r="K3" s="23">
        <f>K1 + K2</f>
        <v>57960.66</v>
      </c>
    </row>
    <row r="4">
      <c r="A4" s="8" t="s">
        <v>43</v>
      </c>
      <c r="B4" s="8" t="s">
        <v>8</v>
      </c>
      <c r="C4" s="9">
        <f t="shared" ref="C4:C9" si="1">DATE(2022,4,30)</f>
        <v>44681</v>
      </c>
      <c r="D4" s="8">
        <v>2350.0</v>
      </c>
    </row>
    <row r="5">
      <c r="A5" s="14" t="s">
        <v>89</v>
      </c>
      <c r="B5" s="14" t="s">
        <v>90</v>
      </c>
      <c r="C5" s="9">
        <f t="shared" si="1"/>
        <v>44681</v>
      </c>
      <c r="D5" s="14">
        <v>20000.0</v>
      </c>
      <c r="J5" s="4" t="s">
        <v>16</v>
      </c>
      <c r="K5" s="13">
        <f>K3 - (D26)</f>
        <v>2326.62</v>
      </c>
    </row>
    <row r="6">
      <c r="A6" s="8" t="s">
        <v>10</v>
      </c>
      <c r="B6" s="8" t="s">
        <v>46</v>
      </c>
      <c r="C6" s="9">
        <f t="shared" si="1"/>
        <v>44681</v>
      </c>
      <c r="D6" s="14">
        <v>5000.0</v>
      </c>
      <c r="J6" s="4" t="s">
        <v>45</v>
      </c>
      <c r="K6" s="34">
        <f>K5 - D48</f>
        <v>-56836.17</v>
      </c>
    </row>
    <row r="7">
      <c r="A7" s="8" t="s">
        <v>22</v>
      </c>
      <c r="B7" s="8" t="s">
        <v>46</v>
      </c>
      <c r="C7" s="9">
        <f t="shared" si="1"/>
        <v>44681</v>
      </c>
      <c r="D7" s="8">
        <v>5000.0</v>
      </c>
    </row>
    <row r="8">
      <c r="A8" s="8" t="s">
        <v>44</v>
      </c>
      <c r="B8" s="8" t="s">
        <v>24</v>
      </c>
      <c r="C8" s="9">
        <f t="shared" si="1"/>
        <v>44681</v>
      </c>
      <c r="D8" s="14">
        <v>4069.0</v>
      </c>
    </row>
    <row r="9">
      <c r="A9" s="14" t="s">
        <v>91</v>
      </c>
      <c r="B9" s="14" t="s">
        <v>92</v>
      </c>
      <c r="C9" s="9">
        <f t="shared" si="1"/>
        <v>44681</v>
      </c>
      <c r="D9" s="14">
        <v>500.0</v>
      </c>
    </row>
    <row r="10">
      <c r="A10" s="14" t="s">
        <v>79</v>
      </c>
      <c r="B10" s="14" t="s">
        <v>8</v>
      </c>
      <c r="C10" s="9">
        <f t="shared" ref="C10:C12" si="2">DATE(2022,5,1)</f>
        <v>44682</v>
      </c>
      <c r="D10" s="14">
        <v>8000.0</v>
      </c>
    </row>
    <row r="11">
      <c r="A11" s="8" t="s">
        <v>47</v>
      </c>
      <c r="B11" s="8" t="s">
        <v>48</v>
      </c>
      <c r="C11" s="9">
        <f t="shared" si="2"/>
        <v>44682</v>
      </c>
      <c r="D11" s="8">
        <v>1000.0</v>
      </c>
    </row>
    <row r="12">
      <c r="A12" s="14" t="s">
        <v>80</v>
      </c>
      <c r="B12" s="14" t="s">
        <v>52</v>
      </c>
      <c r="C12" s="9">
        <f t="shared" si="2"/>
        <v>44682</v>
      </c>
      <c r="D12" s="14">
        <f>200+380+1000</f>
        <v>1580</v>
      </c>
    </row>
    <row r="13">
      <c r="A13" s="14" t="s">
        <v>93</v>
      </c>
      <c r="B13" s="14" t="s">
        <v>48</v>
      </c>
      <c r="C13" s="9">
        <f>DATE(2022,4,30)</f>
        <v>44681</v>
      </c>
      <c r="D13" s="14">
        <v>1900.0</v>
      </c>
    </row>
    <row r="14">
      <c r="A14" s="14" t="s">
        <v>66</v>
      </c>
      <c r="B14" s="14" t="s">
        <v>94</v>
      </c>
      <c r="C14" s="9">
        <f>DATE(2022,5,7)</f>
        <v>44688</v>
      </c>
      <c r="D14" s="8">
        <f>(842+860+260+500)</f>
        <v>2462</v>
      </c>
    </row>
    <row r="15">
      <c r="A15" s="14" t="s">
        <v>95</v>
      </c>
      <c r="C15" s="9"/>
      <c r="D15" s="14">
        <v>5.29</v>
      </c>
    </row>
    <row r="16">
      <c r="A16" s="8" t="s">
        <v>60</v>
      </c>
      <c r="B16" s="8" t="s">
        <v>24</v>
      </c>
      <c r="C16" s="9">
        <f>DATE(2022,5,14)</f>
        <v>44695</v>
      </c>
      <c r="D16" s="8">
        <v>1357.0</v>
      </c>
    </row>
    <row r="17">
      <c r="A17" s="14" t="s">
        <v>96</v>
      </c>
      <c r="B17" s="14" t="s">
        <v>24</v>
      </c>
      <c r="D17" s="14">
        <v>155.0</v>
      </c>
    </row>
    <row r="18">
      <c r="A18" s="14" t="s">
        <v>97</v>
      </c>
      <c r="B18" s="14" t="s">
        <v>24</v>
      </c>
      <c r="D18" s="14">
        <v>99.0</v>
      </c>
    </row>
    <row r="19">
      <c r="A19" s="14" t="s">
        <v>96</v>
      </c>
      <c r="B19" s="14" t="s">
        <v>24</v>
      </c>
      <c r="D19" s="14">
        <v>155.0</v>
      </c>
    </row>
    <row r="20">
      <c r="A20" s="14" t="s">
        <v>92</v>
      </c>
      <c r="D20" s="8">
        <f>(75+126.8+478.95+155+155+99+50+240)-1000</f>
        <v>379.75</v>
      </c>
    </row>
    <row r="21" ht="15.75" customHeight="1">
      <c r="A21" s="14" t="s">
        <v>98</v>
      </c>
      <c r="B21" s="14" t="s">
        <v>24</v>
      </c>
      <c r="D21" s="14">
        <v>607.0</v>
      </c>
    </row>
    <row r="22" ht="15.75" customHeight="1">
      <c r="A22" s="14" t="s">
        <v>99</v>
      </c>
      <c r="D22" s="14">
        <v>130.0</v>
      </c>
    </row>
    <row r="23" ht="15.75" customHeight="1">
      <c r="A23" s="14" t="s">
        <v>95</v>
      </c>
      <c r="D23" s="14">
        <v>646.0</v>
      </c>
    </row>
    <row r="24" ht="15.75" customHeight="1"/>
    <row r="25" ht="15.75" customHeight="1"/>
    <row r="26" ht="15.75" customHeight="1">
      <c r="C26" s="8" t="s">
        <v>37</v>
      </c>
      <c r="D26" s="29">
        <f>SUM(D3:D24)</f>
        <v>55634.04</v>
      </c>
    </row>
    <row r="27" ht="15.75" customHeight="1"/>
    <row r="28" ht="15.75" customHeight="1"/>
    <row r="29" ht="15.75" customHeight="1">
      <c r="A29" s="17" t="s">
        <v>38</v>
      </c>
      <c r="B29" s="2"/>
      <c r="C29" s="2"/>
      <c r="D29" s="3"/>
    </row>
    <row r="30" ht="15.75" customHeight="1">
      <c r="A30" s="6" t="s">
        <v>2</v>
      </c>
      <c r="B30" s="6" t="s">
        <v>3</v>
      </c>
      <c r="C30" s="6"/>
      <c r="D30" s="6" t="s">
        <v>5</v>
      </c>
    </row>
    <row r="31" ht="15.75" customHeight="1"/>
    <row r="32" ht="15.75" customHeight="1">
      <c r="C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C39" s="9"/>
    </row>
    <row r="40" ht="15.75" customHeight="1"/>
    <row r="41" ht="15.75" customHeight="1">
      <c r="C41" s="9"/>
    </row>
    <row r="42" ht="15.75" customHeight="1">
      <c r="C42" s="9"/>
    </row>
    <row r="43" ht="15.75" customHeight="1"/>
    <row r="44" ht="15.75" customHeight="1">
      <c r="C44" s="9"/>
    </row>
    <row r="45" ht="15.75" customHeight="1"/>
    <row r="46" ht="15.75" customHeight="1"/>
    <row r="47" ht="15.75" customHeight="1"/>
    <row r="48" ht="15.75" customHeight="1">
      <c r="C48" s="8" t="s">
        <v>39</v>
      </c>
      <c r="D48" s="19">
        <f>SUM(D16:D45)</f>
        <v>59162.79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9:D2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6.14"/>
    <col customWidth="1" min="3" max="3" width="21.29"/>
    <col customWidth="1" min="4" max="4" width="28.43"/>
    <col customWidth="1" min="5" max="9" width="8.71"/>
    <col customWidth="1" min="10" max="10" width="39.29"/>
    <col customWidth="1" min="11" max="11" width="13.86"/>
    <col customWidth="1" min="12" max="26" width="8.71"/>
  </cols>
  <sheetData>
    <row r="1">
      <c r="A1" s="1" t="s">
        <v>0</v>
      </c>
      <c r="B1" s="2"/>
      <c r="C1" s="2"/>
      <c r="D1" s="3"/>
      <c r="J1" s="4" t="s">
        <v>1</v>
      </c>
      <c r="K1" s="5">
        <f>MAY!K5</f>
        <v>2326.62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7">
        <v>41357.0</v>
      </c>
    </row>
    <row r="3" ht="17.25" customHeight="1">
      <c r="A3" s="8" t="s">
        <v>43</v>
      </c>
      <c r="B3" s="8" t="s">
        <v>8</v>
      </c>
      <c r="C3" s="9"/>
      <c r="D3" s="8">
        <v>2350.0</v>
      </c>
      <c r="J3" s="4" t="s">
        <v>13</v>
      </c>
      <c r="K3" s="23">
        <f>K1 + K2</f>
        <v>43683.62</v>
      </c>
    </row>
    <row r="4">
      <c r="A4" s="8" t="s">
        <v>44</v>
      </c>
      <c r="B4" s="8" t="s">
        <v>24</v>
      </c>
      <c r="C4" s="9"/>
      <c r="D4" s="14">
        <v>4106.0</v>
      </c>
    </row>
    <row r="5">
      <c r="A5" s="14" t="s">
        <v>80</v>
      </c>
      <c r="B5" s="14" t="s">
        <v>52</v>
      </c>
      <c r="D5" s="14">
        <v>500.0</v>
      </c>
      <c r="J5" s="4" t="s">
        <v>16</v>
      </c>
      <c r="K5" s="13">
        <f>K3 - (D26)</f>
        <v>2967.12</v>
      </c>
    </row>
    <row r="6">
      <c r="A6" s="14" t="s">
        <v>89</v>
      </c>
      <c r="B6" s="14" t="s">
        <v>90</v>
      </c>
      <c r="C6" s="9">
        <f>DATE(2022,4,30)</f>
        <v>44681</v>
      </c>
      <c r="D6" s="14">
        <v>6000.0</v>
      </c>
    </row>
    <row r="7">
      <c r="A7" s="14" t="s">
        <v>79</v>
      </c>
      <c r="B7" s="14" t="s">
        <v>8</v>
      </c>
      <c r="D7" s="14">
        <v>8000.0</v>
      </c>
    </row>
    <row r="8">
      <c r="A8" s="8" t="s">
        <v>47</v>
      </c>
      <c r="B8" s="8" t="s">
        <v>48</v>
      </c>
      <c r="C8" s="9"/>
      <c r="D8" s="8">
        <v>1000.0</v>
      </c>
    </row>
    <row r="9">
      <c r="A9" s="8" t="s">
        <v>10</v>
      </c>
      <c r="B9" s="8" t="s">
        <v>46</v>
      </c>
      <c r="C9" s="9"/>
      <c r="D9" s="14">
        <v>5000.0</v>
      </c>
    </row>
    <row r="11">
      <c r="A11" s="14" t="s">
        <v>100</v>
      </c>
      <c r="B11" s="14" t="s">
        <v>34</v>
      </c>
      <c r="C11" s="9"/>
      <c r="D11" s="14">
        <v>4612.5</v>
      </c>
    </row>
    <row r="12">
      <c r="A12" s="14" t="s">
        <v>101</v>
      </c>
      <c r="B12" s="14" t="s">
        <v>48</v>
      </c>
      <c r="C12" s="9"/>
      <c r="D12" s="14">
        <v>3300.0</v>
      </c>
    </row>
    <row r="13">
      <c r="A13" s="14" t="s">
        <v>102</v>
      </c>
      <c r="D13" s="14">
        <v>900.0</v>
      </c>
    </row>
    <row r="14">
      <c r="A14" s="14" t="s">
        <v>103</v>
      </c>
      <c r="C14" s="9"/>
      <c r="D14" s="14">
        <v>4948.0</v>
      </c>
    </row>
    <row r="15">
      <c r="C15" s="9"/>
    </row>
    <row r="16">
      <c r="C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C26" s="8" t="s">
        <v>37</v>
      </c>
      <c r="D26" s="29">
        <f>SUM(D3:D24)</f>
        <v>40716.5</v>
      </c>
    </row>
    <row r="27" ht="15.75" customHeight="1"/>
    <row r="28" ht="15.75" customHeight="1"/>
    <row r="29" ht="15.75" customHeight="1">
      <c r="A29" s="17" t="s">
        <v>38</v>
      </c>
      <c r="B29" s="2"/>
      <c r="C29" s="2"/>
      <c r="D29" s="3"/>
    </row>
    <row r="30" ht="15.75" customHeight="1">
      <c r="A30" s="6" t="s">
        <v>2</v>
      </c>
      <c r="B30" s="6" t="s">
        <v>3</v>
      </c>
      <c r="C30" s="6"/>
      <c r="D30" s="6" t="s">
        <v>5</v>
      </c>
    </row>
    <row r="31" ht="15.75" customHeight="1"/>
    <row r="32" ht="15.75" customHeight="1"/>
    <row r="33" ht="15.75" customHeight="1">
      <c r="A33" s="8" t="s">
        <v>60</v>
      </c>
      <c r="B33" s="8" t="s">
        <v>24</v>
      </c>
      <c r="C33" s="9"/>
      <c r="D33" s="8">
        <v>1357.0</v>
      </c>
    </row>
    <row r="34" ht="15.75" customHeight="1">
      <c r="A34" s="8" t="s">
        <v>104</v>
      </c>
      <c r="B34" s="8" t="s">
        <v>24</v>
      </c>
      <c r="C34" s="9"/>
      <c r="D34" s="14">
        <v>607.0</v>
      </c>
    </row>
    <row r="35" ht="15.75" customHeight="1">
      <c r="C35" s="9"/>
    </row>
    <row r="36" ht="15.75" customHeight="1"/>
    <row r="37" ht="15.75" customHeight="1">
      <c r="A37" s="8" t="s">
        <v>22</v>
      </c>
      <c r="B37" s="8" t="s">
        <v>46</v>
      </c>
      <c r="C37" s="9"/>
      <c r="D37" s="8">
        <v>5000.0</v>
      </c>
    </row>
    <row r="38" ht="15.75" customHeight="1"/>
    <row r="39" ht="15.75" customHeight="1"/>
    <row r="40" ht="15.75" customHeight="1"/>
    <row r="41" ht="15.75" customHeight="1"/>
    <row r="42" ht="15.75" customHeight="1">
      <c r="C42" s="9"/>
    </row>
    <row r="43" ht="15.75" customHeight="1">
      <c r="C43" s="9"/>
    </row>
    <row r="44" ht="15.75" customHeight="1">
      <c r="C44" s="9"/>
    </row>
    <row r="45" ht="15.75" customHeight="1"/>
    <row r="46" ht="15.75" customHeight="1"/>
    <row r="47" ht="15.75" customHeight="1"/>
    <row r="48" ht="15.75" customHeight="1">
      <c r="C48" s="8" t="s">
        <v>39</v>
      </c>
      <c r="D48" s="19">
        <f>SUM(D7:D46)</f>
        <v>75441</v>
      </c>
    </row>
    <row r="49" ht="15.75" customHeight="1"/>
    <row r="50" ht="15.75" customHeight="1"/>
    <row r="51" ht="15.75" customHeight="1"/>
    <row r="52" ht="15.75" customHeight="1"/>
    <row r="53" ht="15.75" customHeight="1">
      <c r="A53" s="14" t="s">
        <v>87</v>
      </c>
      <c r="B53" s="8" t="s">
        <v>8</v>
      </c>
      <c r="D53" s="14">
        <v>650.0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9:D2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6.14"/>
    <col customWidth="1" min="3" max="3" width="21.29"/>
    <col customWidth="1" min="4" max="4" width="28.43"/>
    <col customWidth="1" min="5" max="9" width="8.71"/>
    <col customWidth="1" min="10" max="10" width="39.29"/>
    <col customWidth="1" min="11" max="11" width="16.57"/>
    <col customWidth="1" min="12" max="26" width="8.71"/>
  </cols>
  <sheetData>
    <row r="1">
      <c r="A1" s="1" t="s">
        <v>0</v>
      </c>
      <c r="B1" s="2"/>
      <c r="C1" s="2"/>
      <c r="D1" s="3"/>
      <c r="J1" s="4" t="s">
        <v>1</v>
      </c>
      <c r="K1" s="5">
        <f>JUN!K5</f>
        <v>2967.12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40000.0</v>
      </c>
    </row>
    <row r="3" ht="17.25" customHeight="1">
      <c r="A3" s="14" t="s">
        <v>105</v>
      </c>
      <c r="C3" s="9"/>
      <c r="D3" s="14">
        <v>1300.0</v>
      </c>
      <c r="J3" s="14" t="s">
        <v>106</v>
      </c>
      <c r="K3" s="14">
        <v>15000.0</v>
      </c>
    </row>
    <row r="4">
      <c r="A4" s="8" t="s">
        <v>43</v>
      </c>
      <c r="B4" s="8" t="s">
        <v>8</v>
      </c>
      <c r="C4" s="9"/>
      <c r="D4" s="8">
        <v>2350.0</v>
      </c>
      <c r="J4" s="4" t="s">
        <v>13</v>
      </c>
      <c r="K4" s="12">
        <f>K1 + K2 + K3</f>
        <v>57967.12</v>
      </c>
    </row>
    <row r="5">
      <c r="A5" s="14" t="s">
        <v>89</v>
      </c>
      <c r="B5" s="14" t="s">
        <v>90</v>
      </c>
      <c r="C5" s="9"/>
      <c r="D5" s="14">
        <v>6000.0</v>
      </c>
    </row>
    <row r="6">
      <c r="A6" s="8" t="s">
        <v>44</v>
      </c>
      <c r="B6" s="8" t="s">
        <v>24</v>
      </c>
      <c r="C6" s="9"/>
      <c r="D6" s="14">
        <v>4103.0</v>
      </c>
      <c r="J6" s="4" t="s">
        <v>16</v>
      </c>
      <c r="K6" s="13">
        <f>K4 - (D31)</f>
        <v>34137.67</v>
      </c>
    </row>
    <row r="7">
      <c r="A7" s="8" t="s">
        <v>10</v>
      </c>
      <c r="B7" s="8" t="s">
        <v>46</v>
      </c>
      <c r="C7" s="9"/>
      <c r="D7" s="14">
        <v>2000.0</v>
      </c>
      <c r="J7" s="39" t="s">
        <v>107</v>
      </c>
      <c r="K7" s="40">
        <f>K4 - (D32) - D55</f>
        <v>48658.12</v>
      </c>
    </row>
    <row r="8">
      <c r="A8" s="14" t="s">
        <v>108</v>
      </c>
      <c r="B8" s="14" t="s">
        <v>92</v>
      </c>
      <c r="C8" s="9"/>
      <c r="D8" s="8">
        <f>(422.5 + 1509.65 + 1034.3 + 25) - 570</f>
        <v>2421.45</v>
      </c>
    </row>
    <row r="9">
      <c r="A9" s="14" t="s">
        <v>109</v>
      </c>
      <c r="B9" s="14" t="s">
        <v>24</v>
      </c>
      <c r="D9" s="14">
        <v>3000.0</v>
      </c>
    </row>
    <row r="10">
      <c r="A10" s="14" t="s">
        <v>96</v>
      </c>
      <c r="B10" s="14" t="s">
        <v>24</v>
      </c>
      <c r="D10" s="14">
        <v>155.0</v>
      </c>
    </row>
    <row r="11">
      <c r="A11" s="14" t="s">
        <v>10</v>
      </c>
      <c r="B11" s="14" t="s">
        <v>92</v>
      </c>
      <c r="C11" s="9"/>
      <c r="D11" s="14">
        <v>2500.0</v>
      </c>
    </row>
    <row r="12">
      <c r="C12" s="9"/>
    </row>
    <row r="14">
      <c r="C14" s="9"/>
    </row>
    <row r="15">
      <c r="C15" s="9"/>
    </row>
    <row r="16">
      <c r="C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C31" s="8" t="s">
        <v>37</v>
      </c>
      <c r="D31" s="29">
        <f>SUM(D3:D29)</f>
        <v>23829.45</v>
      </c>
    </row>
    <row r="32" ht="15.75" customHeight="1"/>
    <row r="33" ht="15.75" customHeight="1"/>
    <row r="34" ht="15.75" customHeight="1">
      <c r="A34" s="17" t="s">
        <v>38</v>
      </c>
      <c r="B34" s="2"/>
      <c r="C34" s="2"/>
      <c r="D34" s="3"/>
    </row>
    <row r="35" ht="15.75" customHeight="1">
      <c r="A35" s="6" t="s">
        <v>2</v>
      </c>
      <c r="B35" s="6" t="s">
        <v>3</v>
      </c>
      <c r="C35" s="6"/>
      <c r="D35" s="6" t="s">
        <v>5</v>
      </c>
    </row>
    <row r="36" ht="15.75" customHeight="1"/>
    <row r="37" ht="15.75" customHeight="1"/>
    <row r="38" ht="15.75" customHeight="1">
      <c r="A38" s="14" t="s">
        <v>80</v>
      </c>
      <c r="B38" s="14" t="s">
        <v>52</v>
      </c>
      <c r="D38" s="14">
        <v>500.0</v>
      </c>
    </row>
    <row r="39" ht="15.75" customHeight="1"/>
    <row r="40" ht="15.75" customHeight="1">
      <c r="A40" s="14" t="s">
        <v>79</v>
      </c>
      <c r="B40" s="14" t="s">
        <v>8</v>
      </c>
      <c r="D40" s="14">
        <v>6000.0</v>
      </c>
    </row>
    <row r="41" ht="15.75" customHeight="1">
      <c r="A41" s="8" t="s">
        <v>47</v>
      </c>
      <c r="B41" s="8" t="s">
        <v>48</v>
      </c>
      <c r="C41" s="9"/>
      <c r="D41" s="8">
        <v>1000.0</v>
      </c>
    </row>
    <row r="42" ht="15.75" customHeight="1"/>
    <row r="43" ht="15.75" customHeight="1">
      <c r="A43" s="8" t="s">
        <v>60</v>
      </c>
      <c r="B43" s="8" t="s">
        <v>24</v>
      </c>
      <c r="C43" s="9"/>
      <c r="D43" s="8">
        <v>1357.0</v>
      </c>
    </row>
    <row r="44" ht="15.75" customHeight="1">
      <c r="A44" s="8" t="s">
        <v>104</v>
      </c>
      <c r="B44" s="8" t="s">
        <v>24</v>
      </c>
      <c r="C44" s="9"/>
      <c r="D44" s="14">
        <f>607 - (155)</f>
        <v>452</v>
      </c>
    </row>
    <row r="45" ht="15.75" customHeight="1"/>
    <row r="46" ht="15.75" customHeight="1">
      <c r="A46" s="14" t="s">
        <v>110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C55" s="8" t="s">
        <v>39</v>
      </c>
      <c r="D55" s="19">
        <f>SUM(D36:D53)</f>
        <v>9309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4:D3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v>1530.0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f>(193737 + 1357)</f>
        <v>195094</v>
      </c>
    </row>
    <row r="3">
      <c r="A3" s="14" t="s">
        <v>111</v>
      </c>
      <c r="B3" s="14" t="s">
        <v>112</v>
      </c>
      <c r="C3" s="42">
        <f t="shared" ref="C3:C5" si="1">DATE(2022, 7, 27)</f>
        <v>44769</v>
      </c>
      <c r="D3" s="14">
        <v>15000.0</v>
      </c>
      <c r="J3" s="4" t="s">
        <v>13</v>
      </c>
      <c r="K3" s="23">
        <f>K1 + K2</f>
        <v>196624</v>
      </c>
    </row>
    <row r="4">
      <c r="A4" s="14" t="s">
        <v>51</v>
      </c>
      <c r="B4" s="14" t="s">
        <v>108</v>
      </c>
      <c r="C4" s="42">
        <f t="shared" si="1"/>
        <v>44769</v>
      </c>
      <c r="D4" s="14">
        <v>500.0</v>
      </c>
    </row>
    <row r="5">
      <c r="A5" s="14" t="s">
        <v>113</v>
      </c>
      <c r="B5" s="14" t="s">
        <v>94</v>
      </c>
      <c r="C5" s="42">
        <f t="shared" si="1"/>
        <v>44769</v>
      </c>
      <c r="D5" s="8">
        <f>(398+149)</f>
        <v>547</v>
      </c>
      <c r="J5" s="39" t="s">
        <v>114</v>
      </c>
      <c r="K5" s="13">
        <f>K3 - (D43)</f>
        <v>89488</v>
      </c>
    </row>
    <row r="6">
      <c r="A6" s="14" t="s">
        <v>115</v>
      </c>
      <c r="B6" s="14" t="s">
        <v>116</v>
      </c>
      <c r="C6" s="42">
        <f t="shared" ref="C6:C13" si="2">DATE(2022, 7, 29)</f>
        <v>44771</v>
      </c>
      <c r="D6" s="14">
        <v>10500.0</v>
      </c>
      <c r="J6" s="39" t="s">
        <v>117</v>
      </c>
      <c r="K6" s="34">
        <f>K5 - D62 + SUM(D19:D21)</f>
        <v>-124657</v>
      </c>
    </row>
    <row r="7">
      <c r="A7" s="8" t="s">
        <v>43</v>
      </c>
      <c r="B7" s="8" t="s">
        <v>8</v>
      </c>
      <c r="C7" s="42">
        <f t="shared" si="2"/>
        <v>44771</v>
      </c>
      <c r="D7" s="8">
        <v>2350.0</v>
      </c>
    </row>
    <row r="8">
      <c r="A8" s="14" t="s">
        <v>64</v>
      </c>
      <c r="B8" s="14" t="s">
        <v>38</v>
      </c>
      <c r="C8" s="42">
        <f t="shared" si="2"/>
        <v>44771</v>
      </c>
      <c r="D8" s="8">
        <f>(5000+2000+1300)</f>
        <v>8300</v>
      </c>
    </row>
    <row r="9">
      <c r="A9" s="8" t="s">
        <v>44</v>
      </c>
      <c r="B9" s="8" t="s">
        <v>24</v>
      </c>
      <c r="C9" s="42">
        <f t="shared" si="2"/>
        <v>44771</v>
      </c>
      <c r="D9" s="14">
        <v>5763.0</v>
      </c>
    </row>
    <row r="10">
      <c r="A10" s="8" t="s">
        <v>10</v>
      </c>
      <c r="B10" s="8" t="s">
        <v>46</v>
      </c>
      <c r="C10" s="42">
        <f t="shared" si="2"/>
        <v>44771</v>
      </c>
      <c r="D10" s="14">
        <v>5000.0</v>
      </c>
    </row>
    <row r="11">
      <c r="A11" s="8" t="s">
        <v>22</v>
      </c>
      <c r="B11" s="8" t="s">
        <v>46</v>
      </c>
      <c r="C11" s="42">
        <f t="shared" si="2"/>
        <v>44771</v>
      </c>
      <c r="D11" s="14">
        <v>10000.0</v>
      </c>
    </row>
    <row r="12">
      <c r="A12" s="14" t="s">
        <v>96</v>
      </c>
      <c r="B12" s="14" t="s">
        <v>24</v>
      </c>
      <c r="C12" s="42">
        <f t="shared" si="2"/>
        <v>44771</v>
      </c>
      <c r="D12" s="14">
        <v>155.0</v>
      </c>
    </row>
    <row r="13">
      <c r="A13" s="14" t="s">
        <v>118</v>
      </c>
      <c r="B13" s="14" t="s">
        <v>119</v>
      </c>
      <c r="C13" s="42">
        <f t="shared" si="2"/>
        <v>44771</v>
      </c>
      <c r="D13" s="14">
        <v>5800.0</v>
      </c>
    </row>
    <row r="14">
      <c r="A14" s="14" t="s">
        <v>120</v>
      </c>
      <c r="B14" s="14" t="s">
        <v>24</v>
      </c>
      <c r="C14" s="42">
        <f>DATE(2022, 7, 30)</f>
        <v>44772</v>
      </c>
      <c r="D14" s="14">
        <v>99.0</v>
      </c>
    </row>
    <row r="15">
      <c r="A15" s="14" t="s">
        <v>121</v>
      </c>
      <c r="B15" s="14" t="s">
        <v>116</v>
      </c>
      <c r="C15" s="42">
        <f t="shared" ref="C15:C18" si="3">DATE(2022, 7, 31)</f>
        <v>44773</v>
      </c>
      <c r="D15" s="14">
        <v>13502.0</v>
      </c>
    </row>
    <row r="16">
      <c r="A16" s="43" t="s">
        <v>122</v>
      </c>
      <c r="B16" s="14" t="s">
        <v>123</v>
      </c>
      <c r="C16" s="42">
        <f t="shared" si="3"/>
        <v>44773</v>
      </c>
      <c r="D16" s="14">
        <v>692.0</v>
      </c>
    </row>
    <row r="17">
      <c r="A17" s="14" t="s">
        <v>79</v>
      </c>
      <c r="B17" s="14" t="s">
        <v>8</v>
      </c>
      <c r="C17" s="42">
        <f t="shared" si="3"/>
        <v>44773</v>
      </c>
      <c r="D17" s="14">
        <v>16000.0</v>
      </c>
    </row>
    <row r="18">
      <c r="A18" s="8" t="s">
        <v>47</v>
      </c>
      <c r="B18" s="8" t="s">
        <v>48</v>
      </c>
      <c r="C18" s="42">
        <f t="shared" si="3"/>
        <v>44773</v>
      </c>
      <c r="D18" s="14">
        <v>3000.0</v>
      </c>
    </row>
    <row r="19">
      <c r="A19" s="14" t="s">
        <v>111</v>
      </c>
      <c r="B19" s="14" t="s">
        <v>112</v>
      </c>
      <c r="C19" s="42">
        <f>DATE(2022, 7, 27)</f>
        <v>44769</v>
      </c>
      <c r="D19" s="14">
        <v>7500.0</v>
      </c>
    </row>
    <row r="20">
      <c r="A20" s="14" t="s">
        <v>124</v>
      </c>
      <c r="B20" s="14" t="s">
        <v>48</v>
      </c>
      <c r="C20" s="42">
        <f>DATE(2022, 8, 1)</f>
        <v>44774</v>
      </c>
      <c r="D20" s="14">
        <v>1279.0</v>
      </c>
    </row>
    <row r="21">
      <c r="A21" s="14" t="s">
        <v>125</v>
      </c>
      <c r="B21" s="14" t="s">
        <v>48</v>
      </c>
      <c r="D21" s="8">
        <f>(210+60+80)</f>
        <v>350</v>
      </c>
    </row>
    <row r="22">
      <c r="A22" s="14" t="s">
        <v>126</v>
      </c>
      <c r="B22" s="14" t="s">
        <v>48</v>
      </c>
      <c r="C22" s="42">
        <f>DATE(2022, 8, 1)</f>
        <v>44774</v>
      </c>
      <c r="D22" s="14">
        <v>200.0</v>
      </c>
    </row>
    <row r="23">
      <c r="A23" s="14" t="s">
        <v>127</v>
      </c>
      <c r="B23" s="14" t="s">
        <v>24</v>
      </c>
      <c r="C23" s="42">
        <f>DATE(2022, 7, 30)</f>
        <v>44772</v>
      </c>
      <c r="D23" s="14">
        <v>99.0</v>
      </c>
    </row>
    <row r="24">
      <c r="A24" s="14" t="s">
        <v>120</v>
      </c>
      <c r="B24" s="14" t="s">
        <v>24</v>
      </c>
      <c r="C24" s="42">
        <f t="shared" ref="C24:C25" si="4">DATE(2022, 8, 7)</f>
        <v>44780</v>
      </c>
      <c r="D24" s="14">
        <v>100.0</v>
      </c>
    </row>
    <row r="25">
      <c r="A25" s="14" t="s">
        <v>128</v>
      </c>
      <c r="B25" s="14" t="s">
        <v>24</v>
      </c>
      <c r="C25" s="42">
        <f t="shared" si="4"/>
        <v>44780</v>
      </c>
      <c r="D25" s="14">
        <v>400.0</v>
      </c>
    </row>
    <row r="43">
      <c r="C43" s="8" t="s">
        <v>37</v>
      </c>
      <c r="D43" s="29">
        <f>SUM(D3:D40)</f>
        <v>107136</v>
      </c>
    </row>
    <row r="46">
      <c r="A46" s="17" t="s">
        <v>38</v>
      </c>
      <c r="B46" s="2"/>
      <c r="C46" s="2"/>
      <c r="D46" s="3"/>
    </row>
    <row r="47">
      <c r="A47" s="6" t="s">
        <v>2</v>
      </c>
      <c r="B47" s="6" t="s">
        <v>3</v>
      </c>
      <c r="C47" s="6"/>
      <c r="D47" s="6" t="s">
        <v>5</v>
      </c>
    </row>
    <row r="50">
      <c r="A50" s="8" t="s">
        <v>60</v>
      </c>
      <c r="B50" s="8" t="s">
        <v>24</v>
      </c>
      <c r="C50" s="9"/>
      <c r="D50" s="8">
        <v>1357.0</v>
      </c>
    </row>
    <row r="51">
      <c r="A51" s="8" t="s">
        <v>104</v>
      </c>
      <c r="B51" s="8" t="s">
        <v>24</v>
      </c>
      <c r="C51" s="9"/>
      <c r="D51" s="14">
        <f>(607 - (D12 + D14))</f>
        <v>353</v>
      </c>
    </row>
    <row r="52">
      <c r="A52" s="14" t="s">
        <v>129</v>
      </c>
      <c r="B52" s="14" t="s">
        <v>130</v>
      </c>
      <c r="D52" s="14">
        <v>8000.0</v>
      </c>
    </row>
    <row r="54">
      <c r="A54" s="44" t="s">
        <v>111</v>
      </c>
      <c r="B54" s="44" t="s">
        <v>112</v>
      </c>
      <c r="D54" s="8">
        <f>(100000 - (D3 + D19))</f>
        <v>77500</v>
      </c>
    </row>
    <row r="62">
      <c r="C62" s="8" t="s">
        <v>39</v>
      </c>
      <c r="D62" s="19">
        <f>SUM(D17:D60)</f>
        <v>223274</v>
      </c>
    </row>
    <row r="66">
      <c r="A66" s="14" t="s">
        <v>64</v>
      </c>
      <c r="B66" s="14" t="s">
        <v>38</v>
      </c>
      <c r="D66" s="8">
        <f>(30000)</f>
        <v>30000</v>
      </c>
    </row>
    <row r="67">
      <c r="A67" s="14" t="s">
        <v>131</v>
      </c>
      <c r="B67" s="14" t="s">
        <v>38</v>
      </c>
      <c r="D67" s="8">
        <f>(15000+10000+5000)</f>
        <v>30000</v>
      </c>
    </row>
  </sheetData>
  <mergeCells count="2">
    <mergeCell ref="A1:D1"/>
    <mergeCell ref="A46:D46"/>
  </mergeCells>
  <hyperlinks>
    <hyperlink r:id="rId1" ref="A1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v>1530.0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f>(193737 + 1357)</f>
        <v>195094</v>
      </c>
    </row>
    <row r="3">
      <c r="A3" s="14" t="s">
        <v>111</v>
      </c>
      <c r="B3" s="14" t="s">
        <v>112</v>
      </c>
      <c r="C3" s="42">
        <f t="shared" ref="C3:C5" si="1">DATE(2022, 7, 27)</f>
        <v>44769</v>
      </c>
      <c r="D3" s="14">
        <v>15000.0</v>
      </c>
      <c r="J3" s="4" t="s">
        <v>13</v>
      </c>
      <c r="K3" s="23">
        <f>K1 + K2</f>
        <v>196624</v>
      </c>
    </row>
    <row r="4">
      <c r="A4" s="14" t="s">
        <v>51</v>
      </c>
      <c r="B4" s="14" t="s">
        <v>108</v>
      </c>
      <c r="C4" s="42">
        <f t="shared" si="1"/>
        <v>44769</v>
      </c>
      <c r="D4" s="14">
        <v>500.0</v>
      </c>
    </row>
    <row r="5">
      <c r="A5" s="14" t="s">
        <v>113</v>
      </c>
      <c r="B5" s="14" t="s">
        <v>94</v>
      </c>
      <c r="C5" s="42">
        <f t="shared" si="1"/>
        <v>44769</v>
      </c>
      <c r="D5" s="8">
        <f>(398+149)</f>
        <v>547</v>
      </c>
      <c r="J5" s="39" t="s">
        <v>114</v>
      </c>
      <c r="K5" s="13">
        <f>K3 - (D34)</f>
        <v>118209</v>
      </c>
    </row>
    <row r="6">
      <c r="A6" s="14" t="s">
        <v>115</v>
      </c>
      <c r="B6" s="14" t="s">
        <v>116</v>
      </c>
      <c r="C6" s="42">
        <f t="shared" ref="C6:C17" si="2">DATE(2022, 7, 29)</f>
        <v>44771</v>
      </c>
      <c r="D6" s="14">
        <v>10500.0</v>
      </c>
      <c r="J6" s="39" t="s">
        <v>117</v>
      </c>
      <c r="K6" s="34">
        <f>K5 - D59 + SUM(D13:D16)</f>
        <v>17900</v>
      </c>
    </row>
    <row r="7">
      <c r="A7" s="8" t="s">
        <v>43</v>
      </c>
      <c r="B7" s="8" t="s">
        <v>8</v>
      </c>
      <c r="C7" s="42">
        <f t="shared" si="2"/>
        <v>44771</v>
      </c>
      <c r="D7" s="8">
        <v>2350.0</v>
      </c>
    </row>
    <row r="8">
      <c r="A8" s="14" t="s">
        <v>64</v>
      </c>
      <c r="B8" s="14" t="s">
        <v>38</v>
      </c>
      <c r="C8" s="42">
        <f t="shared" si="2"/>
        <v>44771</v>
      </c>
      <c r="D8" s="8">
        <f>(5000+2000+1300)</f>
        <v>8300</v>
      </c>
    </row>
    <row r="9">
      <c r="A9" s="8" t="s">
        <v>44</v>
      </c>
      <c r="B9" s="8" t="s">
        <v>24</v>
      </c>
      <c r="C9" s="42">
        <f t="shared" si="2"/>
        <v>44771</v>
      </c>
      <c r="D9" s="14">
        <v>5763.0</v>
      </c>
    </row>
    <row r="10">
      <c r="A10" s="8" t="s">
        <v>10</v>
      </c>
      <c r="B10" s="8" t="s">
        <v>46</v>
      </c>
      <c r="C10" s="42">
        <f t="shared" si="2"/>
        <v>44771</v>
      </c>
      <c r="D10" s="14">
        <v>5000.0</v>
      </c>
    </row>
    <row r="11">
      <c r="A11" s="8" t="s">
        <v>22</v>
      </c>
      <c r="B11" s="8" t="s">
        <v>46</v>
      </c>
      <c r="C11" s="42">
        <f t="shared" si="2"/>
        <v>44771</v>
      </c>
      <c r="D11" s="14">
        <v>10000.0</v>
      </c>
    </row>
    <row r="12">
      <c r="A12" s="14" t="s">
        <v>96</v>
      </c>
      <c r="B12" s="14" t="s">
        <v>24</v>
      </c>
      <c r="C12" s="42">
        <f t="shared" si="2"/>
        <v>44771</v>
      </c>
      <c r="D12" s="14">
        <v>155.0</v>
      </c>
    </row>
    <row r="13">
      <c r="A13" s="14" t="s">
        <v>132</v>
      </c>
      <c r="B13" s="14" t="s">
        <v>92</v>
      </c>
      <c r="C13" s="42">
        <f t="shared" si="2"/>
        <v>44771</v>
      </c>
      <c r="D13" s="8">
        <f>(2500)</f>
        <v>2500</v>
      </c>
    </row>
    <row r="14">
      <c r="A14" s="14" t="s">
        <v>133</v>
      </c>
      <c r="B14" s="14" t="s">
        <v>92</v>
      </c>
      <c r="C14" s="42">
        <f t="shared" si="2"/>
        <v>44771</v>
      </c>
      <c r="D14" s="8">
        <f>(1000)</f>
        <v>1000</v>
      </c>
    </row>
    <row r="15">
      <c r="A15" s="14" t="s">
        <v>134</v>
      </c>
      <c r="B15" s="14" t="s">
        <v>92</v>
      </c>
      <c r="C15" s="42">
        <f t="shared" si="2"/>
        <v>44771</v>
      </c>
      <c r="D15" s="14">
        <v>4000.0</v>
      </c>
    </row>
    <row r="16">
      <c r="A16" s="14" t="s">
        <v>135</v>
      </c>
      <c r="B16" s="14" t="s">
        <v>92</v>
      </c>
      <c r="C16" s="42">
        <f t="shared" si="2"/>
        <v>44771</v>
      </c>
      <c r="D16" s="14">
        <v>3000.0</v>
      </c>
    </row>
    <row r="17">
      <c r="A17" s="14" t="s">
        <v>118</v>
      </c>
      <c r="B17" s="14" t="s">
        <v>119</v>
      </c>
      <c r="C17" s="42">
        <f t="shared" si="2"/>
        <v>44771</v>
      </c>
      <c r="D17" s="14">
        <v>5800.0</v>
      </c>
    </row>
    <row r="18">
      <c r="A18" s="14" t="s">
        <v>136</v>
      </c>
      <c r="B18" s="8" t="s">
        <v>8</v>
      </c>
      <c r="C18" s="42">
        <f>DATE(2022, 8, 27)</f>
        <v>44800</v>
      </c>
      <c r="D18" s="14">
        <v>4000.0</v>
      </c>
    </row>
    <row r="34">
      <c r="C34" s="8" t="s">
        <v>37</v>
      </c>
      <c r="D34" s="29">
        <f>SUM(D3:D32)</f>
        <v>78415</v>
      </c>
    </row>
    <row r="37">
      <c r="A37" s="17" t="s">
        <v>38</v>
      </c>
      <c r="B37" s="2"/>
      <c r="C37" s="2"/>
      <c r="D37" s="3"/>
    </row>
    <row r="38">
      <c r="A38" s="6" t="s">
        <v>2</v>
      </c>
      <c r="B38" s="6" t="s">
        <v>3</v>
      </c>
      <c r="C38" s="6"/>
      <c r="D38" s="6" t="s">
        <v>5</v>
      </c>
    </row>
    <row r="39">
      <c r="A39" s="14" t="s">
        <v>79</v>
      </c>
      <c r="B39" s="14" t="s">
        <v>8</v>
      </c>
      <c r="D39" s="14">
        <v>15000.0</v>
      </c>
    </row>
    <row r="40">
      <c r="A40" s="8" t="s">
        <v>47</v>
      </c>
      <c r="B40" s="8" t="s">
        <v>48</v>
      </c>
      <c r="C40" s="9"/>
      <c r="D40" s="8">
        <v>1000.0</v>
      </c>
    </row>
    <row r="41">
      <c r="A41" s="8" t="s">
        <v>60</v>
      </c>
      <c r="B41" s="8" t="s">
        <v>24</v>
      </c>
      <c r="C41" s="9"/>
      <c r="D41" s="8">
        <v>1357.0</v>
      </c>
    </row>
    <row r="42">
      <c r="A42" s="8" t="s">
        <v>104</v>
      </c>
      <c r="B42" s="8" t="s">
        <v>24</v>
      </c>
      <c r="C42" s="9"/>
      <c r="D42" s="14">
        <f>(607 - (D12))</f>
        <v>452</v>
      </c>
    </row>
    <row r="43">
      <c r="A43" s="14" t="s">
        <v>129</v>
      </c>
      <c r="B43" s="14" t="s">
        <v>130</v>
      </c>
      <c r="D43" s="14">
        <v>8000.0</v>
      </c>
    </row>
    <row r="45">
      <c r="A45" s="44" t="s">
        <v>111</v>
      </c>
      <c r="B45" s="44" t="s">
        <v>112</v>
      </c>
      <c r="D45" s="8">
        <f>(100000 - D3)</f>
        <v>85000</v>
      </c>
    </row>
    <row r="59">
      <c r="C59" s="8" t="s">
        <v>39</v>
      </c>
      <c r="D59" s="19">
        <f>SUM(D39:D57)</f>
        <v>110809</v>
      </c>
    </row>
    <row r="63">
      <c r="A63" s="14" t="s">
        <v>64</v>
      </c>
      <c r="B63" s="14" t="s">
        <v>38</v>
      </c>
      <c r="D63" s="8">
        <f>(30000)</f>
        <v>30000</v>
      </c>
    </row>
    <row r="64">
      <c r="A64" s="14" t="s">
        <v>131</v>
      </c>
      <c r="B64" s="14" t="s">
        <v>38</v>
      </c>
      <c r="D64" s="8">
        <f>(15000+10000+5000)</f>
        <v>30000</v>
      </c>
    </row>
  </sheetData>
  <mergeCells count="2">
    <mergeCell ref="A1:D1"/>
    <mergeCell ref="A37:D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v>2185.0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87045.0</v>
      </c>
    </row>
    <row r="3">
      <c r="A3" s="14" t="s">
        <v>79</v>
      </c>
      <c r="B3" s="14" t="s">
        <v>8</v>
      </c>
      <c r="C3" s="42">
        <f t="shared" ref="C3:C4" si="1">DATE(2022, 9, 29)</f>
        <v>44833</v>
      </c>
      <c r="D3" s="14">
        <v>500.0</v>
      </c>
      <c r="J3" s="4" t="s">
        <v>13</v>
      </c>
      <c r="K3" s="23">
        <f>K1 + K2</f>
        <v>89230</v>
      </c>
    </row>
    <row r="4">
      <c r="A4" s="14" t="s">
        <v>137</v>
      </c>
      <c r="B4" s="14" t="s">
        <v>34</v>
      </c>
      <c r="C4" s="42">
        <f t="shared" si="1"/>
        <v>44833</v>
      </c>
      <c r="D4" s="14">
        <v>4149.0</v>
      </c>
    </row>
    <row r="5">
      <c r="A5" s="14" t="s">
        <v>138</v>
      </c>
      <c r="B5" s="14" t="s">
        <v>48</v>
      </c>
      <c r="C5" s="42">
        <f>DATE(2022, 9, 28)</f>
        <v>44832</v>
      </c>
      <c r="D5" s="14">
        <v>220.0</v>
      </c>
      <c r="J5" s="39" t="s">
        <v>114</v>
      </c>
      <c r="K5" s="13">
        <f>K3 - (D34)</f>
        <v>1472</v>
      </c>
    </row>
    <row r="6">
      <c r="A6" s="14" t="s">
        <v>115</v>
      </c>
      <c r="B6" s="14" t="s">
        <v>116</v>
      </c>
      <c r="C6" s="42">
        <f t="shared" ref="C6:C14" si="2">DATE(2022, 9, 30)</f>
        <v>44834</v>
      </c>
      <c r="D6" s="14">
        <v>7500.0</v>
      </c>
    </row>
    <row r="7">
      <c r="A7" s="8" t="s">
        <v>43</v>
      </c>
      <c r="B7" s="8" t="s">
        <v>8</v>
      </c>
      <c r="C7" s="42">
        <f t="shared" si="2"/>
        <v>44834</v>
      </c>
      <c r="D7" s="8">
        <v>2350.0</v>
      </c>
    </row>
    <row r="8">
      <c r="A8" s="14" t="s">
        <v>139</v>
      </c>
      <c r="B8" s="14" t="s">
        <v>140</v>
      </c>
      <c r="C8" s="42">
        <f t="shared" si="2"/>
        <v>44834</v>
      </c>
      <c r="D8" s="14">
        <v>2000.0</v>
      </c>
      <c r="J8" s="14" t="s">
        <v>141</v>
      </c>
      <c r="K8" s="8">
        <f>(D11 + D16
)</f>
        <v>5147</v>
      </c>
    </row>
    <row r="9">
      <c r="A9" s="14" t="s">
        <v>10</v>
      </c>
      <c r="B9" s="14" t="s">
        <v>140</v>
      </c>
      <c r="C9" s="42">
        <f t="shared" si="2"/>
        <v>44834</v>
      </c>
      <c r="D9" s="14">
        <v>3000.0</v>
      </c>
    </row>
    <row r="10">
      <c r="A10" s="14" t="s">
        <v>140</v>
      </c>
      <c r="B10" s="14" t="s">
        <v>140</v>
      </c>
      <c r="C10" s="42">
        <f t="shared" si="2"/>
        <v>44834</v>
      </c>
      <c r="D10" s="14">
        <v>10000.0</v>
      </c>
      <c r="J10" s="39" t="s">
        <v>117</v>
      </c>
      <c r="K10" s="34">
        <f>K5 - D59 + K8</f>
        <v>928</v>
      </c>
    </row>
    <row r="11">
      <c r="A11" s="14" t="s">
        <v>142</v>
      </c>
      <c r="B11" s="14" t="s">
        <v>92</v>
      </c>
      <c r="C11" s="42">
        <f t="shared" si="2"/>
        <v>44834</v>
      </c>
      <c r="D11" s="14">
        <v>2500.0</v>
      </c>
    </row>
    <row r="12">
      <c r="A12" s="14" t="s">
        <v>143</v>
      </c>
      <c r="B12" s="14" t="s">
        <v>112</v>
      </c>
      <c r="C12" s="42">
        <f t="shared" si="2"/>
        <v>44834</v>
      </c>
      <c r="D12" s="14">
        <v>13000.0</v>
      </c>
      <c r="E12" s="45" t="s">
        <v>144</v>
      </c>
    </row>
    <row r="13">
      <c r="A13" s="14" t="s">
        <v>145</v>
      </c>
      <c r="B13" s="14" t="s">
        <v>112</v>
      </c>
      <c r="C13" s="42">
        <f t="shared" si="2"/>
        <v>44834</v>
      </c>
      <c r="D13" s="14">
        <v>3000.0</v>
      </c>
      <c r="E13" s="45"/>
    </row>
    <row r="14">
      <c r="A14" s="14" t="s">
        <v>146</v>
      </c>
      <c r="B14" s="14" t="s">
        <v>48</v>
      </c>
      <c r="C14" s="42">
        <f t="shared" si="2"/>
        <v>44834</v>
      </c>
      <c r="D14" s="14">
        <v>5763.0</v>
      </c>
      <c r="J14" s="14" t="s">
        <v>147</v>
      </c>
      <c r="K14" s="8">
        <f>D12</f>
        <v>13000</v>
      </c>
    </row>
    <row r="15">
      <c r="A15" s="14" t="s">
        <v>148</v>
      </c>
      <c r="B15" s="14" t="s">
        <v>8</v>
      </c>
      <c r="C15" s="42">
        <f t="shared" ref="C15:C16" si="3">DATE(2022, 10, 2)</f>
        <v>44836</v>
      </c>
      <c r="D15" s="14">
        <v>3648.0</v>
      </c>
    </row>
    <row r="16">
      <c r="A16" s="14" t="s">
        <v>28</v>
      </c>
      <c r="B16" s="14" t="s">
        <v>92</v>
      </c>
      <c r="C16" s="42">
        <f t="shared" si="3"/>
        <v>44836</v>
      </c>
      <c r="D16" s="14">
        <v>2647.0</v>
      </c>
      <c r="J16" s="46" t="s">
        <v>149</v>
      </c>
    </row>
    <row r="17">
      <c r="A17" s="14" t="s">
        <v>113</v>
      </c>
      <c r="B17" s="14" t="s">
        <v>150</v>
      </c>
      <c r="C17" s="42">
        <f>DATE(2022, 9, 30)</f>
        <v>44834</v>
      </c>
      <c r="D17" s="14">
        <v>248.0</v>
      </c>
      <c r="J17" s="47" t="s">
        <v>151</v>
      </c>
      <c r="K17" s="48">
        <f>DATE(2022, 10, 6)</f>
        <v>44840</v>
      </c>
      <c r="L17" s="47">
        <v>2001.0</v>
      </c>
    </row>
    <row r="18">
      <c r="A18" s="14" t="s">
        <v>152</v>
      </c>
      <c r="B18" s="14" t="s">
        <v>24</v>
      </c>
      <c r="C18" s="42">
        <f t="shared" ref="C18:C20" si="4">DATE(2022, 10, 5)</f>
        <v>44839</v>
      </c>
      <c r="D18" s="14">
        <v>155.0</v>
      </c>
      <c r="J18" s="47" t="s">
        <v>153</v>
      </c>
      <c r="K18" s="49"/>
      <c r="L18" s="47">
        <v>2500.0</v>
      </c>
    </row>
    <row r="19">
      <c r="A19" s="14" t="s">
        <v>154</v>
      </c>
      <c r="B19" s="14" t="s">
        <v>24</v>
      </c>
      <c r="C19" s="42">
        <f t="shared" si="4"/>
        <v>44839</v>
      </c>
      <c r="D19" s="14">
        <v>99.0</v>
      </c>
      <c r="J19" s="49"/>
      <c r="K19" s="49"/>
      <c r="L19" s="49"/>
    </row>
    <row r="20">
      <c r="A20" s="14" t="s">
        <v>155</v>
      </c>
      <c r="B20" s="14" t="s">
        <v>24</v>
      </c>
      <c r="C20" s="42">
        <f t="shared" si="4"/>
        <v>44839</v>
      </c>
      <c r="D20" s="14">
        <v>99.0</v>
      </c>
      <c r="J20" s="49"/>
      <c r="K20" s="49"/>
      <c r="L20" s="49"/>
    </row>
    <row r="21">
      <c r="A21" s="14" t="s">
        <v>51</v>
      </c>
      <c r="B21" s="14" t="s">
        <v>52</v>
      </c>
      <c r="C21" s="42">
        <f>DATE(2022, 10, 2)</f>
        <v>44836</v>
      </c>
      <c r="D21" s="14">
        <v>1500.0</v>
      </c>
      <c r="J21" s="49"/>
      <c r="K21" s="49"/>
      <c r="L21" s="49"/>
    </row>
    <row r="22">
      <c r="A22" s="14" t="s">
        <v>156</v>
      </c>
      <c r="B22" s="14" t="s">
        <v>52</v>
      </c>
      <c r="C22" s="42">
        <f t="shared" ref="C22:C24" si="5">DATE(2022, 10, 5)</f>
        <v>44839</v>
      </c>
      <c r="D22" s="14">
        <v>100.0</v>
      </c>
      <c r="J22" s="49"/>
      <c r="K22" s="49"/>
      <c r="L22" s="49"/>
    </row>
    <row r="23">
      <c r="A23" s="14" t="s">
        <v>79</v>
      </c>
      <c r="B23" s="14" t="s">
        <v>8</v>
      </c>
      <c r="C23" s="42">
        <f t="shared" si="5"/>
        <v>44839</v>
      </c>
      <c r="D23" s="14">
        <v>12000.0</v>
      </c>
      <c r="J23" s="49"/>
      <c r="K23" s="49"/>
      <c r="L23" s="49"/>
    </row>
    <row r="24">
      <c r="A24" s="8" t="s">
        <v>47</v>
      </c>
      <c r="B24" s="8" t="s">
        <v>48</v>
      </c>
      <c r="C24" s="42">
        <f t="shared" si="5"/>
        <v>44839</v>
      </c>
      <c r="D24" s="8">
        <v>1000.0</v>
      </c>
      <c r="J24" s="49"/>
      <c r="K24" s="49"/>
      <c r="L24" s="49"/>
    </row>
    <row r="25">
      <c r="A25" s="14" t="s">
        <v>157</v>
      </c>
      <c r="B25" s="14" t="s">
        <v>158</v>
      </c>
      <c r="C25" s="42">
        <f t="shared" ref="C25:C26" si="6">DATE(2022, 10, 6)</f>
        <v>44840</v>
      </c>
      <c r="D25" s="14">
        <v>6545.0</v>
      </c>
      <c r="J25" s="49"/>
      <c r="K25" s="49"/>
      <c r="L25" s="49"/>
    </row>
    <row r="26">
      <c r="A26" s="14" t="s">
        <v>159</v>
      </c>
      <c r="B26" s="14" t="s">
        <v>158</v>
      </c>
      <c r="C26" s="42">
        <f t="shared" si="6"/>
        <v>44840</v>
      </c>
      <c r="D26" s="14">
        <v>141.0</v>
      </c>
      <c r="J26" s="49"/>
      <c r="K26" s="49"/>
      <c r="L26" s="49"/>
    </row>
    <row r="27">
      <c r="A27" s="14" t="s">
        <v>160</v>
      </c>
      <c r="B27" s="14" t="s">
        <v>48</v>
      </c>
      <c r="C27" s="42">
        <f>DATE(2022, 10, 11)</f>
        <v>44845</v>
      </c>
      <c r="D27" s="14">
        <v>1610.0</v>
      </c>
    </row>
    <row r="28">
      <c r="A28" s="14" t="s">
        <v>161</v>
      </c>
      <c r="B28" s="14" t="s">
        <v>52</v>
      </c>
      <c r="C28" s="42">
        <f>DATE(2022, 10, 8)</f>
        <v>44842</v>
      </c>
      <c r="D28" s="14">
        <v>452.0</v>
      </c>
      <c r="J28" s="32" t="s">
        <v>162</v>
      </c>
      <c r="L28" s="50">
        <f>SUM(L17:L26)</f>
        <v>4501</v>
      </c>
    </row>
    <row r="29">
      <c r="A29" s="14" t="s">
        <v>163</v>
      </c>
      <c r="B29" s="14" t="s">
        <v>48</v>
      </c>
      <c r="C29" s="42">
        <f>DATE(2022, 10, 10)</f>
        <v>44844</v>
      </c>
      <c r="D29" s="14">
        <v>318.0</v>
      </c>
      <c r="J29" s="44" t="s">
        <v>164</v>
      </c>
      <c r="L29" s="8">
        <f>K14-L28</f>
        <v>8499</v>
      </c>
    </row>
    <row r="30">
      <c r="A30" s="14" t="s">
        <v>165</v>
      </c>
      <c r="B30" s="14" t="s">
        <v>48</v>
      </c>
      <c r="C30" s="42">
        <f t="shared" ref="C30:C31" si="7">DATE(2022, 10, 25)</f>
        <v>44859</v>
      </c>
      <c r="D30" s="14">
        <v>700.0</v>
      </c>
    </row>
    <row r="31">
      <c r="A31" s="14" t="s">
        <v>166</v>
      </c>
      <c r="B31" s="14" t="s">
        <v>52</v>
      </c>
      <c r="C31" s="42">
        <f t="shared" si="7"/>
        <v>44859</v>
      </c>
      <c r="D31" s="14">
        <v>289.0</v>
      </c>
    </row>
    <row r="32">
      <c r="A32" s="14" t="s">
        <v>167</v>
      </c>
      <c r="D32" s="14">
        <v>2225.0</v>
      </c>
    </row>
    <row r="34">
      <c r="C34" s="8" t="s">
        <v>37</v>
      </c>
      <c r="D34" s="29">
        <f>SUM(D3:D32)</f>
        <v>87758</v>
      </c>
    </row>
    <row r="37">
      <c r="A37" s="17" t="s">
        <v>38</v>
      </c>
      <c r="B37" s="2"/>
      <c r="C37" s="2"/>
      <c r="D37" s="3"/>
    </row>
    <row r="38">
      <c r="A38" s="6" t="s">
        <v>2</v>
      </c>
      <c r="B38" s="6" t="s">
        <v>3</v>
      </c>
      <c r="C38" s="6"/>
      <c r="D38" s="6" t="s">
        <v>5</v>
      </c>
    </row>
    <row r="39">
      <c r="A39" s="8" t="s">
        <v>60</v>
      </c>
      <c r="B39" s="8" t="s">
        <v>24</v>
      </c>
      <c r="C39" s="9"/>
      <c r="D39" s="8">
        <v>1357.0</v>
      </c>
    </row>
    <row r="40">
      <c r="A40" s="8" t="s">
        <v>104</v>
      </c>
      <c r="B40" s="8" t="s">
        <v>24</v>
      </c>
      <c r="C40" s="9"/>
      <c r="D40" s="14">
        <f>(762 - (D18 + D19 + D20))</f>
        <v>409</v>
      </c>
    </row>
    <row r="41">
      <c r="A41" s="14" t="s">
        <v>129</v>
      </c>
      <c r="B41" s="14" t="s">
        <v>130</v>
      </c>
      <c r="D41" s="14">
        <v>2000.0</v>
      </c>
    </row>
    <row r="42">
      <c r="A42" s="14" t="s">
        <v>168</v>
      </c>
      <c r="B42" s="8" t="s">
        <v>8</v>
      </c>
      <c r="D42" s="14">
        <v>1925.0</v>
      </c>
    </row>
    <row r="59">
      <c r="C59" s="8" t="s">
        <v>39</v>
      </c>
      <c r="D59" s="19">
        <f>SUM(D38:D57)</f>
        <v>5691</v>
      </c>
    </row>
    <row r="64">
      <c r="A64" s="14" t="s">
        <v>131</v>
      </c>
      <c r="B64" s="14" t="s">
        <v>38</v>
      </c>
      <c r="D64" s="8">
        <f>(15000+10000+5000)</f>
        <v>30000</v>
      </c>
    </row>
  </sheetData>
  <mergeCells count="3">
    <mergeCell ref="A1:D1"/>
    <mergeCell ref="J16:L16"/>
    <mergeCell ref="A37:D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f>OCT!K1</f>
        <v>2185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134092.0</v>
      </c>
    </row>
    <row r="3">
      <c r="A3" s="14" t="s">
        <v>10</v>
      </c>
      <c r="B3" s="14" t="s">
        <v>140</v>
      </c>
      <c r="C3" s="51">
        <f t="shared" ref="C3:C15" si="1">DATE(2022, 10, 28)</f>
        <v>44862</v>
      </c>
      <c r="D3" s="14">
        <v>3000.0</v>
      </c>
      <c r="J3" s="14" t="s">
        <v>169</v>
      </c>
      <c r="K3" s="14">
        <v>144.0</v>
      </c>
    </row>
    <row r="4">
      <c r="A4" s="14" t="s">
        <v>140</v>
      </c>
      <c r="B4" s="14" t="s">
        <v>140</v>
      </c>
      <c r="C4" s="51">
        <f t="shared" si="1"/>
        <v>44862</v>
      </c>
      <c r="D4" s="14">
        <v>34000.0</v>
      </c>
      <c r="J4" s="4" t="s">
        <v>13</v>
      </c>
      <c r="K4" s="23">
        <f>K1 + K2 + K3</f>
        <v>136421</v>
      </c>
    </row>
    <row r="5">
      <c r="A5" s="14" t="s">
        <v>142</v>
      </c>
      <c r="B5" s="14" t="s">
        <v>92</v>
      </c>
      <c r="C5" s="51">
        <f t="shared" si="1"/>
        <v>44862</v>
      </c>
      <c r="D5" s="14">
        <v>2500.0</v>
      </c>
      <c r="J5" s="39" t="s">
        <v>114</v>
      </c>
      <c r="K5" s="13">
        <f>K4 - (D34)</f>
        <v>2917</v>
      </c>
    </row>
    <row r="6">
      <c r="A6" s="14" t="s">
        <v>146</v>
      </c>
      <c r="B6" s="14" t="s">
        <v>48</v>
      </c>
      <c r="C6" s="51">
        <f t="shared" si="1"/>
        <v>44862</v>
      </c>
      <c r="D6" s="14">
        <v>5186.0</v>
      </c>
    </row>
    <row r="7">
      <c r="A7" s="14" t="s">
        <v>170</v>
      </c>
      <c r="B7" s="14" t="s">
        <v>8</v>
      </c>
      <c r="C7" s="51">
        <f t="shared" si="1"/>
        <v>44862</v>
      </c>
      <c r="D7" s="14">
        <v>500.0</v>
      </c>
    </row>
    <row r="8">
      <c r="A8" s="14" t="s">
        <v>143</v>
      </c>
      <c r="B8" s="14" t="s">
        <v>112</v>
      </c>
      <c r="C8" s="51">
        <f t="shared" si="1"/>
        <v>44862</v>
      </c>
      <c r="D8" s="14">
        <v>12000.0</v>
      </c>
      <c r="E8" s="45" t="s">
        <v>144</v>
      </c>
    </row>
    <row r="9">
      <c r="A9" s="14" t="s">
        <v>139</v>
      </c>
      <c r="B9" s="14" t="s">
        <v>140</v>
      </c>
      <c r="C9" s="51">
        <f t="shared" si="1"/>
        <v>44862</v>
      </c>
      <c r="D9" s="14">
        <v>2000.0</v>
      </c>
      <c r="E9" s="45"/>
    </row>
    <row r="10">
      <c r="A10" s="8" t="s">
        <v>43</v>
      </c>
      <c r="B10" s="8" t="s">
        <v>8</v>
      </c>
      <c r="C10" s="51">
        <f t="shared" si="1"/>
        <v>44862</v>
      </c>
      <c r="D10" s="8">
        <v>2350.0</v>
      </c>
      <c r="J10" s="39" t="s">
        <v>117</v>
      </c>
      <c r="K10" s="34">
        <f>K5 - D68 + (D52 + D53 + D5)</f>
        <v>5417</v>
      </c>
    </row>
    <row r="11">
      <c r="A11" s="14" t="s">
        <v>115</v>
      </c>
      <c r="B11" s="14" t="s">
        <v>116</v>
      </c>
      <c r="C11" s="51">
        <f t="shared" si="1"/>
        <v>44862</v>
      </c>
      <c r="D11" s="14">
        <v>7500.0</v>
      </c>
    </row>
    <row r="12">
      <c r="A12" s="14" t="s">
        <v>168</v>
      </c>
      <c r="B12" s="8" t="s">
        <v>8</v>
      </c>
      <c r="C12" s="51">
        <f t="shared" si="1"/>
        <v>44862</v>
      </c>
      <c r="D12" s="14">
        <v>1925.0</v>
      </c>
      <c r="E12" s="45"/>
    </row>
    <row r="13">
      <c r="A13" s="14" t="s">
        <v>171</v>
      </c>
      <c r="B13" s="14" t="s">
        <v>172</v>
      </c>
      <c r="C13" s="51">
        <f t="shared" si="1"/>
        <v>44862</v>
      </c>
      <c r="D13" s="14">
        <v>1799.0</v>
      </c>
      <c r="E13" s="45"/>
    </row>
    <row r="14">
      <c r="A14" s="14" t="s">
        <v>79</v>
      </c>
      <c r="B14" s="14" t="s">
        <v>8</v>
      </c>
      <c r="C14" s="51">
        <f t="shared" si="1"/>
        <v>44862</v>
      </c>
      <c r="D14" s="14">
        <v>500.0</v>
      </c>
      <c r="J14" s="14" t="s">
        <v>173</v>
      </c>
      <c r="L14" s="8">
        <f>D8 + OCT!K14</f>
        <v>25000</v>
      </c>
    </row>
    <row r="15">
      <c r="A15" s="14" t="s">
        <v>174</v>
      </c>
      <c r="B15" s="14" t="s">
        <v>48</v>
      </c>
      <c r="C15" s="51">
        <f t="shared" si="1"/>
        <v>44862</v>
      </c>
      <c r="D15" s="14">
        <v>5000.0</v>
      </c>
    </row>
    <row r="16">
      <c r="A16" s="14" t="s">
        <v>175</v>
      </c>
      <c r="B16" s="14" t="s">
        <v>94</v>
      </c>
      <c r="C16" s="51">
        <f t="shared" ref="C16:C17" si="2">DATE(2022, 10, 29)</f>
        <v>44863</v>
      </c>
      <c r="D16" s="14">
        <v>700.0</v>
      </c>
      <c r="J16" s="46" t="s">
        <v>176</v>
      </c>
    </row>
    <row r="17">
      <c r="A17" s="14" t="s">
        <v>51</v>
      </c>
      <c r="B17" s="14" t="s">
        <v>52</v>
      </c>
      <c r="C17" s="51">
        <f t="shared" si="2"/>
        <v>44863</v>
      </c>
      <c r="D17" s="14">
        <v>3350.0</v>
      </c>
      <c r="J17" s="47" t="s">
        <v>151</v>
      </c>
      <c r="K17" s="48">
        <f>DATE(2022, 10, 6)</f>
        <v>44840</v>
      </c>
      <c r="L17" s="47">
        <v>2001.0</v>
      </c>
    </row>
    <row r="18">
      <c r="A18" s="14" t="s">
        <v>79</v>
      </c>
      <c r="B18" s="14" t="s">
        <v>8</v>
      </c>
      <c r="C18" s="14" t="s">
        <v>177</v>
      </c>
      <c r="D18" s="14">
        <v>12000.0</v>
      </c>
      <c r="J18" s="47" t="s">
        <v>153</v>
      </c>
      <c r="K18" s="49"/>
      <c r="L18" s="47">
        <v>2550.0</v>
      </c>
    </row>
    <row r="19">
      <c r="A19" s="8" t="s">
        <v>47</v>
      </c>
      <c r="B19" s="8" t="s">
        <v>48</v>
      </c>
      <c r="C19" s="14" t="s">
        <v>177</v>
      </c>
      <c r="D19" s="8">
        <v>1000.0</v>
      </c>
      <c r="J19" s="47" t="s">
        <v>178</v>
      </c>
      <c r="K19" s="49"/>
      <c r="L19" s="47">
        <v>2500.0</v>
      </c>
    </row>
    <row r="20">
      <c r="A20" s="14" t="s">
        <v>179</v>
      </c>
      <c r="B20" s="14" t="s">
        <v>116</v>
      </c>
      <c r="D20" s="14">
        <v>300.0</v>
      </c>
      <c r="J20" s="47" t="s">
        <v>180</v>
      </c>
      <c r="K20" s="49"/>
      <c r="L20" s="47">
        <v>15000.0</v>
      </c>
    </row>
    <row r="21">
      <c r="A21" s="8" t="s">
        <v>104</v>
      </c>
      <c r="B21" s="8" t="s">
        <v>24</v>
      </c>
      <c r="C21" s="9"/>
      <c r="D21" s="14">
        <f>762</f>
        <v>762</v>
      </c>
      <c r="J21" s="49"/>
      <c r="K21" s="49"/>
      <c r="L21" s="49"/>
    </row>
    <row r="22">
      <c r="A22" s="14" t="s">
        <v>148</v>
      </c>
      <c r="B22" s="14" t="s">
        <v>8</v>
      </c>
      <c r="C22" s="14" t="s">
        <v>177</v>
      </c>
      <c r="D22" s="14">
        <v>3278.0</v>
      </c>
      <c r="J22" s="49"/>
      <c r="K22" s="49"/>
      <c r="L22" s="49"/>
    </row>
    <row r="23">
      <c r="A23" s="14" t="s">
        <v>181</v>
      </c>
      <c r="B23" s="14" t="s">
        <v>48</v>
      </c>
      <c r="D23" s="14">
        <v>8000.0</v>
      </c>
      <c r="J23" s="49"/>
      <c r="K23" s="49"/>
      <c r="L23" s="49"/>
    </row>
    <row r="24">
      <c r="A24" s="14" t="s">
        <v>143</v>
      </c>
      <c r="B24" s="14" t="s">
        <v>48</v>
      </c>
      <c r="D24" s="14">
        <v>4000.0</v>
      </c>
      <c r="J24" s="49"/>
      <c r="K24" s="49"/>
      <c r="L24" s="49"/>
    </row>
    <row r="25">
      <c r="A25" s="14" t="s">
        <v>129</v>
      </c>
      <c r="B25" s="14" t="s">
        <v>130</v>
      </c>
      <c r="D25" s="14">
        <v>2000.0</v>
      </c>
      <c r="J25" s="49"/>
      <c r="K25" s="49"/>
      <c r="L25" s="49"/>
    </row>
    <row r="26">
      <c r="A26" s="44" t="s">
        <v>60</v>
      </c>
      <c r="D26" s="14">
        <v>1357.0</v>
      </c>
      <c r="J26" s="49"/>
      <c r="K26" s="49"/>
      <c r="L26" s="49"/>
    </row>
    <row r="27">
      <c r="A27" s="14" t="s">
        <v>182</v>
      </c>
      <c r="D27" s="14">
        <v>18497.0</v>
      </c>
    </row>
    <row r="28">
      <c r="J28" s="32" t="s">
        <v>162</v>
      </c>
      <c r="L28" s="50">
        <f>SUM(L17:L26)</f>
        <v>22051</v>
      </c>
    </row>
    <row r="29">
      <c r="J29" s="44" t="s">
        <v>164</v>
      </c>
      <c r="L29" s="8">
        <f>L14-L28</f>
        <v>2949</v>
      </c>
    </row>
    <row r="34">
      <c r="C34" s="8" t="s">
        <v>37</v>
      </c>
      <c r="D34" s="29">
        <f>SUM(D3:D32)</f>
        <v>133504</v>
      </c>
    </row>
    <row r="37">
      <c r="A37" s="17" t="s">
        <v>38</v>
      </c>
      <c r="B37" s="2"/>
      <c r="C37" s="2"/>
      <c r="D37" s="3"/>
    </row>
    <row r="38">
      <c r="A38" s="6" t="s">
        <v>2</v>
      </c>
      <c r="B38" s="6" t="s">
        <v>3</v>
      </c>
      <c r="C38" s="6"/>
      <c r="D38" s="6" t="s">
        <v>5</v>
      </c>
    </row>
    <row r="39">
      <c r="C39" s="9"/>
    </row>
    <row r="55">
      <c r="G55" s="14"/>
    </row>
    <row r="68">
      <c r="C68" s="8" t="s">
        <v>39</v>
      </c>
      <c r="D68" s="19">
        <f>SUM(D38:D66)</f>
        <v>0</v>
      </c>
    </row>
    <row r="73">
      <c r="A73" s="14" t="s">
        <v>131</v>
      </c>
      <c r="B73" s="14" t="s">
        <v>38</v>
      </c>
      <c r="D73" s="14">
        <v>30000.0</v>
      </c>
    </row>
  </sheetData>
  <autoFilter ref="$A$39:$D$59">
    <sortState ref="A39:D59">
      <sortCondition ref="B39:B59"/>
    </sortState>
  </autoFilter>
  <customSheetViews>
    <customSheetView guid="{BE2622E5-CA07-4EC6-8FF3-0BD1A9F67841}" filter="1" showAutoFilter="1">
      <autoFilter ref="$A$39:$D$58">
        <sortState ref="A39:D58">
          <sortCondition ref="B39:B58"/>
        </sortState>
      </autoFilter>
    </customSheetView>
  </customSheetViews>
  <mergeCells count="3">
    <mergeCell ref="A1:D1"/>
    <mergeCell ref="J16:L16"/>
    <mergeCell ref="A37:D3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f>NOV!K5</f>
        <v>2917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85098.0</v>
      </c>
    </row>
    <row r="3">
      <c r="A3" s="14" t="s">
        <v>140</v>
      </c>
      <c r="B3" s="14" t="s">
        <v>140</v>
      </c>
      <c r="C3" s="51">
        <f t="shared" ref="C3:C13" si="1">DATE(2022, 11, 28)</f>
        <v>44893</v>
      </c>
      <c r="D3" s="14">
        <v>10000.0</v>
      </c>
    </row>
    <row r="4">
      <c r="A4" s="14" t="s">
        <v>183</v>
      </c>
      <c r="B4" s="14" t="s">
        <v>52</v>
      </c>
      <c r="C4" s="51">
        <f t="shared" si="1"/>
        <v>44893</v>
      </c>
      <c r="D4" s="14">
        <v>5000.0</v>
      </c>
      <c r="J4" s="4" t="s">
        <v>13</v>
      </c>
      <c r="K4" s="23">
        <f>K1 + K2 + K3</f>
        <v>88015</v>
      </c>
    </row>
    <row r="5">
      <c r="A5" s="14" t="s">
        <v>139</v>
      </c>
      <c r="B5" s="14" t="s">
        <v>140</v>
      </c>
      <c r="C5" s="51">
        <f t="shared" si="1"/>
        <v>44893</v>
      </c>
      <c r="D5" s="14">
        <v>1000.0</v>
      </c>
      <c r="J5" s="39" t="s">
        <v>114</v>
      </c>
      <c r="K5" s="13">
        <f>K4 - (D27)</f>
        <v>7419</v>
      </c>
    </row>
    <row r="6">
      <c r="A6" s="14" t="s">
        <v>115</v>
      </c>
      <c r="B6" s="14" t="s">
        <v>116</v>
      </c>
      <c r="C6" s="51">
        <f t="shared" si="1"/>
        <v>44893</v>
      </c>
      <c r="D6" s="14">
        <v>7500.0</v>
      </c>
    </row>
    <row r="7">
      <c r="A7" s="8" t="s">
        <v>43</v>
      </c>
      <c r="B7" s="8" t="s">
        <v>8</v>
      </c>
      <c r="C7" s="51">
        <f t="shared" si="1"/>
        <v>44893</v>
      </c>
      <c r="D7" s="8">
        <v>2350.0</v>
      </c>
    </row>
    <row r="8">
      <c r="A8" s="14" t="s">
        <v>168</v>
      </c>
      <c r="B8" s="8" t="s">
        <v>8</v>
      </c>
      <c r="C8" s="51">
        <f t="shared" si="1"/>
        <v>44893</v>
      </c>
      <c r="D8" s="14">
        <v>1925.0</v>
      </c>
      <c r="E8" s="45"/>
    </row>
    <row r="9">
      <c r="A9" s="14" t="s">
        <v>142</v>
      </c>
      <c r="B9" s="14" t="s">
        <v>92</v>
      </c>
      <c r="C9" s="51">
        <f t="shared" si="1"/>
        <v>44893</v>
      </c>
      <c r="D9" s="14">
        <v>2500.0</v>
      </c>
      <c r="E9" s="45"/>
    </row>
    <row r="10">
      <c r="A10" s="14" t="s">
        <v>10</v>
      </c>
      <c r="B10" s="14" t="s">
        <v>140</v>
      </c>
      <c r="C10" s="51">
        <f t="shared" si="1"/>
        <v>44893</v>
      </c>
      <c r="D10" s="14">
        <v>3000.0</v>
      </c>
      <c r="J10" s="39" t="s">
        <v>117</v>
      </c>
      <c r="K10" s="34">
        <f>K5 - D62</f>
        <v>7419</v>
      </c>
    </row>
    <row r="11">
      <c r="A11" s="14" t="s">
        <v>146</v>
      </c>
      <c r="B11" s="14" t="s">
        <v>48</v>
      </c>
      <c r="C11" s="51">
        <f t="shared" si="1"/>
        <v>44893</v>
      </c>
      <c r="D11" s="14">
        <v>5185.0</v>
      </c>
    </row>
    <row r="12">
      <c r="A12" s="14" t="s">
        <v>79</v>
      </c>
      <c r="B12" s="14" t="s">
        <v>8</v>
      </c>
      <c r="C12" s="51">
        <f t="shared" si="1"/>
        <v>44893</v>
      </c>
      <c r="D12" s="14">
        <v>12000.0</v>
      </c>
      <c r="E12" s="45"/>
    </row>
    <row r="13">
      <c r="A13" s="8" t="s">
        <v>47</v>
      </c>
      <c r="B13" s="8" t="s">
        <v>48</v>
      </c>
      <c r="C13" s="51">
        <f t="shared" si="1"/>
        <v>44893</v>
      </c>
      <c r="D13" s="8">
        <v>1000.0</v>
      </c>
      <c r="E13" s="45"/>
    </row>
    <row r="14">
      <c r="A14" s="14" t="s">
        <v>148</v>
      </c>
      <c r="B14" s="14" t="s">
        <v>8</v>
      </c>
      <c r="C14" s="51">
        <f>DATE(2022, 12, 1)</f>
        <v>44896</v>
      </c>
      <c r="D14" s="14">
        <v>3278.0</v>
      </c>
    </row>
    <row r="15">
      <c r="A15" s="14" t="s">
        <v>170</v>
      </c>
      <c r="B15" s="14" t="s">
        <v>8</v>
      </c>
      <c r="C15" s="51">
        <f t="shared" ref="C15:C16" si="2">DATE(2022, 11, 28)</f>
        <v>44893</v>
      </c>
      <c r="D15" s="14">
        <v>500.0</v>
      </c>
    </row>
    <row r="16">
      <c r="A16" s="14" t="s">
        <v>184</v>
      </c>
      <c r="B16" s="14" t="s">
        <v>48</v>
      </c>
      <c r="C16" s="51">
        <f t="shared" si="2"/>
        <v>44893</v>
      </c>
      <c r="D16" s="8">
        <f>(3312+3313)</f>
        <v>6625</v>
      </c>
    </row>
    <row r="17">
      <c r="A17" s="14" t="s">
        <v>185</v>
      </c>
      <c r="B17" s="14" t="s">
        <v>94</v>
      </c>
      <c r="C17" s="51">
        <f>DATE(2022, 11, 30)</f>
        <v>44895</v>
      </c>
      <c r="D17" s="14">
        <v>250.0</v>
      </c>
    </row>
    <row r="18">
      <c r="A18" s="14" t="s">
        <v>186</v>
      </c>
      <c r="B18" s="14" t="s">
        <v>52</v>
      </c>
      <c r="C18" s="51">
        <f>DATE(2022, 11, 29)</f>
        <v>44894</v>
      </c>
      <c r="D18" s="14">
        <v>1380.0</v>
      </c>
    </row>
    <row r="19">
      <c r="A19" s="8" t="s">
        <v>104</v>
      </c>
      <c r="B19" s="8" t="s">
        <v>24</v>
      </c>
      <c r="C19" s="9"/>
      <c r="D19" s="14">
        <f>762</f>
        <v>762</v>
      </c>
    </row>
    <row r="20">
      <c r="A20" s="14" t="s">
        <v>179</v>
      </c>
      <c r="B20" s="14" t="s">
        <v>116</v>
      </c>
      <c r="D20" s="14">
        <v>221.0</v>
      </c>
    </row>
    <row r="21">
      <c r="A21" s="14" t="s">
        <v>183</v>
      </c>
      <c r="B21" s="14" t="s">
        <v>52</v>
      </c>
      <c r="D21" s="14">
        <v>15000.0</v>
      </c>
    </row>
    <row r="22">
      <c r="A22" s="14" t="s">
        <v>187</v>
      </c>
      <c r="B22" s="14" t="s">
        <v>52</v>
      </c>
      <c r="D22" s="14">
        <f>(2000 - D18)</f>
        <v>620</v>
      </c>
    </row>
    <row r="23">
      <c r="A23" s="14" t="s">
        <v>170</v>
      </c>
      <c r="B23" s="14" t="s">
        <v>8</v>
      </c>
      <c r="C23" s="51">
        <f>DATE(2022, 12, 28)</f>
        <v>44923</v>
      </c>
      <c r="D23" s="14">
        <v>500.0</v>
      </c>
    </row>
    <row r="27">
      <c r="C27" s="8" t="s">
        <v>37</v>
      </c>
      <c r="D27" s="29">
        <f>SUM(D3:D25)</f>
        <v>80596</v>
      </c>
    </row>
    <row r="28">
      <c r="J28" s="32"/>
      <c r="L28" s="50"/>
    </row>
    <row r="29">
      <c r="J29" s="44"/>
    </row>
    <row r="31">
      <c r="A31" s="17" t="s">
        <v>38</v>
      </c>
      <c r="B31" s="2"/>
      <c r="C31" s="2"/>
      <c r="D31" s="3"/>
    </row>
    <row r="32">
      <c r="A32" s="6" t="s">
        <v>2</v>
      </c>
      <c r="B32" s="6" t="s">
        <v>3</v>
      </c>
      <c r="C32" s="6"/>
      <c r="D32" s="6" t="s">
        <v>5</v>
      </c>
    </row>
    <row r="55">
      <c r="G55" s="14"/>
    </row>
    <row r="62">
      <c r="C62" s="8" t="s">
        <v>39</v>
      </c>
      <c r="D62" s="19">
        <f>SUM(D32:D60)</f>
        <v>0</v>
      </c>
    </row>
    <row r="67">
      <c r="A67" s="14" t="s">
        <v>131</v>
      </c>
      <c r="B67" s="14" t="s">
        <v>38</v>
      </c>
      <c r="D67" s="14">
        <v>30000.0</v>
      </c>
    </row>
  </sheetData>
  <autoFilter ref="$A$33:$D$53">
    <sortState ref="A33:D53">
      <sortCondition ref="B33:B53"/>
    </sortState>
  </autoFilter>
  <customSheetViews>
    <customSheetView guid="{BE2622E5-CA07-4EC6-8FF3-0BD1A9F67841}" filter="1" showAutoFilter="1">
      <autoFilter ref="$A$33:$D$52">
        <sortState ref="A33:D52">
          <sortCondition ref="B33:B52"/>
        </sortState>
      </autoFilter>
    </customSheetView>
  </customSheetViews>
  <mergeCells count="2">
    <mergeCell ref="A1:D1"/>
    <mergeCell ref="A31:D3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2.71"/>
  </cols>
  <sheetData>
    <row r="1">
      <c r="A1" s="1" t="s">
        <v>0</v>
      </c>
      <c r="B1" s="2"/>
      <c r="C1" s="2"/>
      <c r="D1" s="3"/>
      <c r="J1" s="4" t="s">
        <v>1</v>
      </c>
      <c r="K1" s="41">
        <v>7300.0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73164.0</v>
      </c>
    </row>
    <row r="3">
      <c r="A3" s="14" t="s">
        <v>148</v>
      </c>
      <c r="B3" s="14" t="s">
        <v>8</v>
      </c>
      <c r="C3" s="51">
        <f>DATE(2023, 1, 1)</f>
        <v>44927</v>
      </c>
      <c r="D3" s="14">
        <v>3278.0</v>
      </c>
    </row>
    <row r="4">
      <c r="A4" s="14" t="s">
        <v>146</v>
      </c>
      <c r="B4" s="14" t="s">
        <v>48</v>
      </c>
      <c r="C4" s="51">
        <f>DATE(2022, 12, 30)</f>
        <v>44925</v>
      </c>
      <c r="D4" s="14">
        <v>5186.0</v>
      </c>
      <c r="J4" s="4" t="s">
        <v>13</v>
      </c>
      <c r="K4" s="23">
        <f>K1 + K2 + K3</f>
        <v>80464</v>
      </c>
    </row>
    <row r="5">
      <c r="A5" s="14" t="s">
        <v>188</v>
      </c>
      <c r="B5" s="14" t="s">
        <v>24</v>
      </c>
      <c r="C5" s="51">
        <f>DATE(2022, 12, 31)</f>
        <v>44926</v>
      </c>
      <c r="D5" s="14">
        <v>155.0</v>
      </c>
      <c r="J5" s="39" t="s">
        <v>114</v>
      </c>
      <c r="K5" s="13">
        <f>K4 - (D27)</f>
        <v>12248</v>
      </c>
    </row>
    <row r="6">
      <c r="A6" s="14" t="s">
        <v>115</v>
      </c>
      <c r="B6" s="14" t="s">
        <v>116</v>
      </c>
      <c r="C6" s="51">
        <f t="shared" ref="C6:C8" si="1">DATE(2023, 1, 1)</f>
        <v>44927</v>
      </c>
      <c r="D6" s="14">
        <v>7500.0</v>
      </c>
    </row>
    <row r="7">
      <c r="A7" s="8" t="s">
        <v>43</v>
      </c>
      <c r="B7" s="8" t="s">
        <v>8</v>
      </c>
      <c r="C7" s="51">
        <f t="shared" si="1"/>
        <v>44927</v>
      </c>
      <c r="D7" s="8">
        <v>2350.0</v>
      </c>
    </row>
    <row r="8">
      <c r="A8" s="14" t="s">
        <v>168</v>
      </c>
      <c r="B8" s="8" t="s">
        <v>8</v>
      </c>
      <c r="C8" s="51">
        <f t="shared" si="1"/>
        <v>44927</v>
      </c>
      <c r="D8" s="14">
        <v>1925.0</v>
      </c>
      <c r="E8" s="45"/>
    </row>
    <row r="9">
      <c r="A9" s="14" t="s">
        <v>183</v>
      </c>
      <c r="B9" s="14" t="s">
        <v>52</v>
      </c>
      <c r="C9" s="51">
        <f t="shared" ref="C9:C10" si="2">DATE(2022, 12, 31)</f>
        <v>44926</v>
      </c>
      <c r="D9" s="14">
        <v>5000.0</v>
      </c>
      <c r="E9" s="45"/>
    </row>
    <row r="10">
      <c r="A10" s="14" t="s">
        <v>189</v>
      </c>
      <c r="B10" s="14" t="s">
        <v>94</v>
      </c>
      <c r="C10" s="51">
        <f t="shared" si="2"/>
        <v>44926</v>
      </c>
      <c r="D10" s="14">
        <v>4885.0</v>
      </c>
      <c r="J10" s="39" t="s">
        <v>117</v>
      </c>
      <c r="K10" s="34">
        <f>K5 - D61 + D15</f>
        <v>-1059</v>
      </c>
    </row>
    <row r="11">
      <c r="A11" s="14" t="s">
        <v>139</v>
      </c>
      <c r="B11" s="14" t="s">
        <v>140</v>
      </c>
      <c r="C11" s="51">
        <f t="shared" ref="C11:C15" si="3">DATE(2023, 1, 1)</f>
        <v>44927</v>
      </c>
      <c r="D11" s="14">
        <v>2000.0</v>
      </c>
    </row>
    <row r="12">
      <c r="A12" s="14" t="s">
        <v>140</v>
      </c>
      <c r="B12" s="14" t="s">
        <v>140</v>
      </c>
      <c r="C12" s="51">
        <f t="shared" si="3"/>
        <v>44927</v>
      </c>
      <c r="D12" s="14">
        <v>10000.0</v>
      </c>
      <c r="E12" s="45"/>
    </row>
    <row r="13">
      <c r="A13" s="14" t="s">
        <v>10</v>
      </c>
      <c r="B13" s="14" t="s">
        <v>140</v>
      </c>
      <c r="C13" s="51">
        <f t="shared" si="3"/>
        <v>44927</v>
      </c>
      <c r="D13" s="14">
        <v>3000.0</v>
      </c>
      <c r="E13" s="45"/>
    </row>
    <row r="14">
      <c r="A14" s="14" t="s">
        <v>142</v>
      </c>
      <c r="B14" s="14" t="s">
        <v>92</v>
      </c>
      <c r="C14" s="51">
        <f t="shared" si="3"/>
        <v>44927</v>
      </c>
      <c r="D14" s="14">
        <v>2500.0</v>
      </c>
    </row>
    <row r="15">
      <c r="A15" s="52" t="s">
        <v>189</v>
      </c>
      <c r="B15" s="52" t="s">
        <v>92</v>
      </c>
      <c r="C15" s="53">
        <f t="shared" si="3"/>
        <v>44927</v>
      </c>
      <c r="D15" s="52">
        <v>4500.0</v>
      </c>
    </row>
    <row r="16">
      <c r="A16" s="14" t="s">
        <v>190</v>
      </c>
      <c r="B16" s="14" t="s">
        <v>123</v>
      </c>
      <c r="C16" s="51">
        <f>DATE(2022, 12, 31)</f>
        <v>44926</v>
      </c>
      <c r="D16" s="14">
        <v>551.0</v>
      </c>
    </row>
    <row r="17">
      <c r="A17" s="14" t="s">
        <v>79</v>
      </c>
      <c r="B17" s="14" t="s">
        <v>8</v>
      </c>
      <c r="D17" s="14">
        <v>12000.0</v>
      </c>
    </row>
    <row r="18">
      <c r="A18" s="8" t="s">
        <v>47</v>
      </c>
      <c r="B18" s="8" t="s">
        <v>48</v>
      </c>
      <c r="D18" s="8">
        <v>1000.0</v>
      </c>
    </row>
    <row r="19">
      <c r="A19" s="14" t="s">
        <v>191</v>
      </c>
      <c r="B19" s="14" t="s">
        <v>8</v>
      </c>
      <c r="D19" s="14">
        <v>2386.0</v>
      </c>
    </row>
    <row r="27">
      <c r="C27" s="8" t="s">
        <v>37</v>
      </c>
      <c r="D27" s="29">
        <f>SUM(D3:D25)</f>
        <v>68216</v>
      </c>
    </row>
    <row r="28">
      <c r="J28" s="32"/>
      <c r="L28" s="50"/>
    </row>
    <row r="29">
      <c r="J29" s="44"/>
    </row>
    <row r="31">
      <c r="A31" s="17" t="s">
        <v>38</v>
      </c>
      <c r="B31" s="2"/>
      <c r="C31" s="2"/>
      <c r="D31" s="3"/>
    </row>
    <row r="32">
      <c r="A32" s="6" t="s">
        <v>2</v>
      </c>
      <c r="B32" s="6" t="s">
        <v>3</v>
      </c>
      <c r="C32" s="6"/>
      <c r="D32" s="6" t="s">
        <v>5</v>
      </c>
    </row>
    <row r="33">
      <c r="A33" s="14" t="s">
        <v>179</v>
      </c>
      <c r="B33" s="14" t="s">
        <v>116</v>
      </c>
      <c r="D33" s="14">
        <v>200.0</v>
      </c>
    </row>
    <row r="34">
      <c r="A34" s="8" t="s">
        <v>104</v>
      </c>
      <c r="B34" s="8" t="s">
        <v>24</v>
      </c>
      <c r="C34" s="9"/>
      <c r="D34" s="14">
        <f>762-(155)</f>
        <v>607</v>
      </c>
    </row>
    <row r="37">
      <c r="A37" s="14" t="s">
        <v>183</v>
      </c>
      <c r="B37" s="14" t="s">
        <v>52</v>
      </c>
      <c r="D37" s="14">
        <v>15000.0</v>
      </c>
    </row>
    <row r="38">
      <c r="A38" s="14" t="s">
        <v>187</v>
      </c>
      <c r="B38" s="14" t="s">
        <v>52</v>
      </c>
      <c r="D38" s="14">
        <v>2000.0</v>
      </c>
    </row>
    <row r="54">
      <c r="G54" s="14"/>
    </row>
    <row r="61">
      <c r="C61" s="8" t="s">
        <v>39</v>
      </c>
      <c r="D61" s="19">
        <f>SUM(D33:D59)</f>
        <v>17807</v>
      </c>
    </row>
    <row r="66">
      <c r="A66" s="14" t="s">
        <v>131</v>
      </c>
      <c r="B66" s="14" t="s">
        <v>38</v>
      </c>
      <c r="D66" s="14">
        <v>30000.0</v>
      </c>
    </row>
  </sheetData>
  <mergeCells count="2">
    <mergeCell ref="A1:D1"/>
    <mergeCell ref="A31:D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6.86"/>
  </cols>
  <sheetData>
    <row r="1">
      <c r="A1" s="1" t="s">
        <v>0</v>
      </c>
      <c r="B1" s="2"/>
      <c r="C1" s="2"/>
      <c r="D1" s="3"/>
      <c r="J1" s="4" t="s">
        <v>1</v>
      </c>
      <c r="K1" s="41">
        <v>8579.0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78014.0</v>
      </c>
    </row>
    <row r="3">
      <c r="A3" s="14" t="s">
        <v>115</v>
      </c>
      <c r="B3" s="14" t="s">
        <v>116</v>
      </c>
      <c r="C3" s="51">
        <f t="shared" ref="C3:C15" si="1">DATE(2023, 2, 1)</f>
        <v>44958</v>
      </c>
      <c r="D3" s="14">
        <v>7500.0</v>
      </c>
    </row>
    <row r="4">
      <c r="A4" s="14" t="s">
        <v>192</v>
      </c>
      <c r="B4" s="8" t="s">
        <v>8</v>
      </c>
      <c r="C4" s="51">
        <f t="shared" si="1"/>
        <v>44958</v>
      </c>
      <c r="D4" s="8">
        <v>2350.0</v>
      </c>
      <c r="J4" s="4" t="s">
        <v>13</v>
      </c>
      <c r="K4" s="23">
        <f>K1 + K2 + K3</f>
        <v>86593</v>
      </c>
    </row>
    <row r="5">
      <c r="A5" s="14" t="s">
        <v>168</v>
      </c>
      <c r="B5" s="8" t="s">
        <v>8</v>
      </c>
      <c r="C5" s="51">
        <f t="shared" si="1"/>
        <v>44958</v>
      </c>
      <c r="D5" s="14">
        <v>1925.0</v>
      </c>
      <c r="J5" s="39" t="s">
        <v>114</v>
      </c>
      <c r="K5" s="13">
        <f>K4 - (D27)</f>
        <v>32759</v>
      </c>
    </row>
    <row r="6">
      <c r="A6" s="14" t="s">
        <v>193</v>
      </c>
      <c r="B6" s="14" t="s">
        <v>8</v>
      </c>
      <c r="C6" s="51">
        <f t="shared" si="1"/>
        <v>44958</v>
      </c>
      <c r="D6" s="14">
        <v>1958.0</v>
      </c>
    </row>
    <row r="7">
      <c r="A7" s="14" t="s">
        <v>194</v>
      </c>
      <c r="B7" s="14" t="s">
        <v>130</v>
      </c>
      <c r="C7" s="51">
        <f t="shared" si="1"/>
        <v>44958</v>
      </c>
      <c r="D7" s="14">
        <v>1000.0</v>
      </c>
    </row>
    <row r="8">
      <c r="A8" s="14" t="s">
        <v>148</v>
      </c>
      <c r="B8" s="14" t="s">
        <v>8</v>
      </c>
      <c r="C8" s="51">
        <f t="shared" si="1"/>
        <v>44958</v>
      </c>
      <c r="D8" s="14">
        <v>3278.0</v>
      </c>
      <c r="E8" s="45"/>
    </row>
    <row r="9">
      <c r="A9" s="14" t="s">
        <v>146</v>
      </c>
      <c r="B9" s="14" t="s">
        <v>48</v>
      </c>
      <c r="C9" s="51">
        <f t="shared" si="1"/>
        <v>44958</v>
      </c>
      <c r="D9" s="14">
        <v>3078.0</v>
      </c>
      <c r="E9" s="45"/>
    </row>
    <row r="10">
      <c r="A10" s="14" t="s">
        <v>139</v>
      </c>
      <c r="B10" s="14" t="s">
        <v>140</v>
      </c>
      <c r="C10" s="51">
        <f t="shared" si="1"/>
        <v>44958</v>
      </c>
      <c r="D10" s="14">
        <v>2000.0</v>
      </c>
      <c r="J10" s="39" t="s">
        <v>117</v>
      </c>
      <c r="K10" s="34">
        <f>K5 - D61</f>
        <v>26974</v>
      </c>
    </row>
    <row r="11">
      <c r="A11" s="14" t="s">
        <v>79</v>
      </c>
      <c r="B11" s="14" t="s">
        <v>8</v>
      </c>
      <c r="C11" s="51">
        <f t="shared" si="1"/>
        <v>44958</v>
      </c>
      <c r="D11" s="14">
        <v>12000.0</v>
      </c>
    </row>
    <row r="12">
      <c r="A12" s="8" t="s">
        <v>47</v>
      </c>
      <c r="B12" s="8" t="s">
        <v>48</v>
      </c>
      <c r="C12" s="51">
        <f t="shared" si="1"/>
        <v>44958</v>
      </c>
      <c r="D12" s="8">
        <v>1000.0</v>
      </c>
      <c r="E12" s="45"/>
    </row>
    <row r="13">
      <c r="A13" s="14" t="s">
        <v>10</v>
      </c>
      <c r="B13" s="14" t="s">
        <v>140</v>
      </c>
      <c r="C13" s="51">
        <f t="shared" si="1"/>
        <v>44958</v>
      </c>
      <c r="D13" s="14">
        <v>3000.0</v>
      </c>
      <c r="E13" s="45"/>
    </row>
    <row r="14">
      <c r="A14" s="14" t="s">
        <v>142</v>
      </c>
      <c r="B14" s="14" t="s">
        <v>92</v>
      </c>
      <c r="C14" s="51">
        <f t="shared" si="1"/>
        <v>44958</v>
      </c>
      <c r="D14" s="14">
        <v>2500.0</v>
      </c>
    </row>
    <row r="15">
      <c r="A15" s="14" t="s">
        <v>140</v>
      </c>
      <c r="B15" s="14" t="s">
        <v>140</v>
      </c>
      <c r="C15" s="51">
        <f t="shared" si="1"/>
        <v>44958</v>
      </c>
      <c r="D15" s="14">
        <v>10000.0</v>
      </c>
    </row>
    <row r="16">
      <c r="A16" s="14" t="s">
        <v>60</v>
      </c>
      <c r="B16" s="14" t="s">
        <v>52</v>
      </c>
      <c r="C16" s="51">
        <f>DATE(2023, 1, 28)</f>
        <v>44954</v>
      </c>
      <c r="D16" s="14">
        <v>1180.0</v>
      </c>
    </row>
    <row r="17">
      <c r="A17" s="14" t="s">
        <v>195</v>
      </c>
      <c r="B17" s="14" t="s">
        <v>24</v>
      </c>
      <c r="C17" s="51">
        <f>DATE(2023, 2, 1)</f>
        <v>44958</v>
      </c>
      <c r="D17" s="14">
        <f> 155 * 3</f>
        <v>465</v>
      </c>
    </row>
    <row r="18">
      <c r="A18" s="14" t="s">
        <v>196</v>
      </c>
      <c r="B18" s="14" t="s">
        <v>8</v>
      </c>
      <c r="C18" s="51">
        <f>DATE(2023, 1, 28)</f>
        <v>44954</v>
      </c>
      <c r="D18" s="14">
        <v>500.0</v>
      </c>
    </row>
    <row r="19">
      <c r="A19" s="14" t="s">
        <v>197</v>
      </c>
      <c r="B19" s="14" t="s">
        <v>198</v>
      </c>
      <c r="C19" s="51">
        <f>DATE(2023, 1, 29)</f>
        <v>44955</v>
      </c>
      <c r="D19" s="14">
        <v>100.0</v>
      </c>
    </row>
    <row r="27">
      <c r="C27" s="8" t="s">
        <v>37</v>
      </c>
      <c r="D27" s="29">
        <f>SUM(D3:D25)</f>
        <v>53834</v>
      </c>
    </row>
    <row r="28">
      <c r="J28" s="32"/>
      <c r="L28" s="50"/>
    </row>
    <row r="29">
      <c r="J29" s="44"/>
    </row>
    <row r="31">
      <c r="A31" s="17" t="s">
        <v>38</v>
      </c>
      <c r="B31" s="2"/>
      <c r="C31" s="2"/>
      <c r="D31" s="3"/>
    </row>
    <row r="32">
      <c r="A32" s="6" t="s">
        <v>2</v>
      </c>
      <c r="B32" s="6" t="s">
        <v>3</v>
      </c>
      <c r="C32" s="6"/>
      <c r="D32" s="6" t="s">
        <v>5</v>
      </c>
    </row>
    <row r="33">
      <c r="A33" s="14" t="s">
        <v>179</v>
      </c>
      <c r="B33" s="14" t="s">
        <v>116</v>
      </c>
      <c r="D33" s="14">
        <v>500.0</v>
      </c>
    </row>
    <row r="35">
      <c r="A35" s="8" t="s">
        <v>104</v>
      </c>
      <c r="B35" s="8" t="s">
        <v>24</v>
      </c>
      <c r="C35" s="9"/>
      <c r="D35" s="14">
        <f> 750 - D17</f>
        <v>285</v>
      </c>
    </row>
    <row r="36">
      <c r="A36" s="14" t="s">
        <v>183</v>
      </c>
      <c r="B36" s="14" t="s">
        <v>52</v>
      </c>
      <c r="D36" s="14">
        <v>5000.0</v>
      </c>
    </row>
    <row r="44">
      <c r="H44" s="8">
        <f>SUM(D4:D42)</f>
        <v>105953</v>
      </c>
    </row>
    <row r="45">
      <c r="H45" s="8">
        <f> D7 + SUM(D4:D6)</f>
        <v>7233</v>
      </c>
    </row>
    <row r="54">
      <c r="G54" s="14"/>
    </row>
    <row r="61">
      <c r="C61" s="8" t="s">
        <v>39</v>
      </c>
      <c r="D61" s="19">
        <f>SUM(D33:D59)</f>
        <v>5785</v>
      </c>
    </row>
    <row r="66">
      <c r="A66" s="14" t="s">
        <v>131</v>
      </c>
      <c r="B66" s="14" t="s">
        <v>38</v>
      </c>
      <c r="D66" s="14">
        <v>30000.0</v>
      </c>
    </row>
  </sheetData>
  <mergeCells count="2">
    <mergeCell ref="A1:D1"/>
    <mergeCell ref="A31:D3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4" width="23.0"/>
    <col customWidth="1" min="5" max="5" width="20.43"/>
    <col customWidth="1" min="10" max="10" width="36.71"/>
    <col customWidth="1" min="11" max="11" width="16.86"/>
  </cols>
  <sheetData>
    <row r="1">
      <c r="A1" s="1" t="s">
        <v>0</v>
      </c>
      <c r="B1" s="2"/>
      <c r="C1" s="2"/>
      <c r="D1" s="3"/>
      <c r="J1" s="4" t="s">
        <v>1</v>
      </c>
      <c r="K1" s="41">
        <v>15652.0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J2" s="4" t="s">
        <v>6</v>
      </c>
      <c r="K2" s="31">
        <v>99389.0</v>
      </c>
    </row>
    <row r="3">
      <c r="A3" s="14" t="s">
        <v>10</v>
      </c>
      <c r="B3" s="14" t="s">
        <v>140</v>
      </c>
      <c r="C3" s="51">
        <f t="shared" ref="C3:C14" si="1">DATE(2023, 2, 28)</f>
        <v>44985</v>
      </c>
      <c r="D3" s="14">
        <v>3000.0</v>
      </c>
    </row>
    <row r="4">
      <c r="A4" s="14" t="s">
        <v>142</v>
      </c>
      <c r="B4" s="14" t="s">
        <v>92</v>
      </c>
      <c r="C4" s="51">
        <f t="shared" si="1"/>
        <v>44985</v>
      </c>
      <c r="D4" s="14">
        <v>2500.0</v>
      </c>
      <c r="J4" s="4" t="s">
        <v>13</v>
      </c>
      <c r="K4" s="23">
        <f>K1 + K2 + K3</f>
        <v>115041</v>
      </c>
    </row>
    <row r="5">
      <c r="A5" s="14" t="s">
        <v>183</v>
      </c>
      <c r="B5" s="14" t="s">
        <v>52</v>
      </c>
      <c r="C5" s="51">
        <f t="shared" si="1"/>
        <v>44985</v>
      </c>
      <c r="D5" s="14">
        <v>5000.0</v>
      </c>
      <c r="J5" s="39" t="s">
        <v>114</v>
      </c>
      <c r="K5" s="13">
        <f>K4 - (D27)</f>
        <v>18423</v>
      </c>
    </row>
    <row r="6">
      <c r="A6" s="14" t="s">
        <v>140</v>
      </c>
      <c r="B6" s="14" t="s">
        <v>140</v>
      </c>
      <c r="C6" s="51">
        <f t="shared" si="1"/>
        <v>44985</v>
      </c>
      <c r="D6" s="14">
        <v>23000.0</v>
      </c>
    </row>
    <row r="7">
      <c r="A7" s="14" t="s">
        <v>146</v>
      </c>
      <c r="B7" s="14" t="s">
        <v>48</v>
      </c>
      <c r="C7" s="51">
        <f t="shared" si="1"/>
        <v>44985</v>
      </c>
      <c r="D7" s="14">
        <v>3077.0</v>
      </c>
    </row>
    <row r="8">
      <c r="A8" s="14" t="s">
        <v>139</v>
      </c>
      <c r="B8" s="14" t="s">
        <v>140</v>
      </c>
      <c r="C8" s="51">
        <f t="shared" si="1"/>
        <v>44985</v>
      </c>
      <c r="D8" s="14">
        <v>2000.0</v>
      </c>
      <c r="E8" s="45"/>
    </row>
    <row r="9">
      <c r="A9" s="14" t="s">
        <v>115</v>
      </c>
      <c r="B9" s="14" t="s">
        <v>116</v>
      </c>
      <c r="C9" s="51">
        <f t="shared" si="1"/>
        <v>44985</v>
      </c>
      <c r="D9" s="14">
        <v>7500.0</v>
      </c>
      <c r="E9" s="45"/>
    </row>
    <row r="10">
      <c r="A10" s="14" t="s">
        <v>168</v>
      </c>
      <c r="B10" s="8" t="s">
        <v>8</v>
      </c>
      <c r="C10" s="51">
        <f t="shared" si="1"/>
        <v>44985</v>
      </c>
      <c r="D10" s="14">
        <v>1925.0</v>
      </c>
      <c r="J10" s="39" t="s">
        <v>117</v>
      </c>
      <c r="K10" s="34">
        <f>K5 - D61</f>
        <v>-96597</v>
      </c>
    </row>
    <row r="11">
      <c r="A11" s="14" t="s">
        <v>193</v>
      </c>
      <c r="B11" s="14" t="s">
        <v>8</v>
      </c>
      <c r="C11" s="51">
        <f t="shared" si="1"/>
        <v>44985</v>
      </c>
      <c r="D11" s="14">
        <v>1958.0</v>
      </c>
    </row>
    <row r="12">
      <c r="A12" s="14" t="s">
        <v>194</v>
      </c>
      <c r="B12" s="14" t="s">
        <v>130</v>
      </c>
      <c r="C12" s="51">
        <f t="shared" si="1"/>
        <v>44985</v>
      </c>
      <c r="D12" s="14">
        <v>2000.0</v>
      </c>
      <c r="E12" s="45"/>
    </row>
    <row r="13">
      <c r="A13" s="14" t="s">
        <v>148</v>
      </c>
      <c r="B13" s="14" t="s">
        <v>8</v>
      </c>
      <c r="C13" s="51">
        <f t="shared" si="1"/>
        <v>44985</v>
      </c>
      <c r="D13" s="14">
        <v>3280.0</v>
      </c>
      <c r="E13" s="45"/>
    </row>
    <row r="14">
      <c r="A14" s="14" t="s">
        <v>152</v>
      </c>
      <c r="B14" s="14" t="s">
        <v>24</v>
      </c>
      <c r="C14" s="51">
        <f t="shared" si="1"/>
        <v>44985</v>
      </c>
      <c r="D14" s="14">
        <v>155.0</v>
      </c>
    </row>
    <row r="15">
      <c r="A15" s="14" t="s">
        <v>199</v>
      </c>
      <c r="B15" s="14" t="s">
        <v>200</v>
      </c>
      <c r="C15" s="51">
        <f t="shared" ref="C15:C16" si="2">DATE(2023, 3, 1)</f>
        <v>44986</v>
      </c>
      <c r="D15" s="54">
        <v>10933.0</v>
      </c>
    </row>
    <row r="16">
      <c r="A16" s="14" t="s">
        <v>201</v>
      </c>
      <c r="B16" s="14" t="s">
        <v>200</v>
      </c>
      <c r="C16" s="51">
        <f t="shared" si="2"/>
        <v>44986</v>
      </c>
      <c r="D16" s="54">
        <v>11888.0</v>
      </c>
    </row>
    <row r="17">
      <c r="A17" s="8" t="s">
        <v>104</v>
      </c>
      <c r="B17" s="8" t="s">
        <v>24</v>
      </c>
      <c r="C17" s="55" t="s">
        <v>202</v>
      </c>
      <c r="D17" s="14">
        <f>700 - (155 * 1)</f>
        <v>545</v>
      </c>
    </row>
    <row r="18">
      <c r="A18" s="14" t="s">
        <v>79</v>
      </c>
      <c r="B18" s="14" t="s">
        <v>8</v>
      </c>
      <c r="C18" s="14" t="s">
        <v>203</v>
      </c>
      <c r="D18" s="14">
        <v>15000.0</v>
      </c>
    </row>
    <row r="19">
      <c r="A19" s="8" t="s">
        <v>47</v>
      </c>
      <c r="B19" s="8" t="s">
        <v>48</v>
      </c>
      <c r="C19" s="14" t="s">
        <v>203</v>
      </c>
      <c r="D19" s="8">
        <v>1000.0</v>
      </c>
    </row>
    <row r="20">
      <c r="A20" s="14" t="s">
        <v>196</v>
      </c>
      <c r="B20" s="14" t="s">
        <v>8</v>
      </c>
      <c r="C20" s="14" t="s">
        <v>202</v>
      </c>
      <c r="D20" s="14">
        <v>500.0</v>
      </c>
    </row>
    <row r="21">
      <c r="A21" s="14" t="s">
        <v>60</v>
      </c>
      <c r="B21" s="14" t="s">
        <v>52</v>
      </c>
      <c r="C21" s="14" t="s">
        <v>202</v>
      </c>
      <c r="D21" s="14">
        <v>1357.0</v>
      </c>
    </row>
    <row r="27">
      <c r="C27" s="8" t="s">
        <v>37</v>
      </c>
      <c r="D27" s="29">
        <f>SUM(D3:D25)</f>
        <v>96618</v>
      </c>
    </row>
    <row r="28">
      <c r="J28" s="32"/>
      <c r="L28" s="50"/>
    </row>
    <row r="29">
      <c r="J29" s="44"/>
    </row>
    <row r="31">
      <c r="A31" s="17" t="s">
        <v>38</v>
      </c>
      <c r="B31" s="2"/>
      <c r="C31" s="2"/>
      <c r="D31" s="3"/>
    </row>
    <row r="32">
      <c r="A32" s="6" t="s">
        <v>2</v>
      </c>
      <c r="B32" s="6" t="s">
        <v>3</v>
      </c>
      <c r="C32" s="6"/>
      <c r="D32" s="6" t="s">
        <v>5</v>
      </c>
    </row>
    <row r="54">
      <c r="G54" s="14"/>
    </row>
    <row r="61">
      <c r="C61" s="8" t="s">
        <v>39</v>
      </c>
      <c r="D61" s="19">
        <f>SUM(D17:D58)</f>
        <v>115020</v>
      </c>
    </row>
    <row r="66">
      <c r="A66" s="14" t="s">
        <v>131</v>
      </c>
      <c r="B66" s="14" t="s">
        <v>38</v>
      </c>
      <c r="D66" s="14">
        <v>30000.0</v>
      </c>
    </row>
  </sheetData>
  <mergeCells count="2">
    <mergeCell ref="A1:D1"/>
    <mergeCell ref="A31:D3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889.0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K2" s="4" t="s">
        <v>6</v>
      </c>
      <c r="L2" s="31">
        <f>(76709 + 1357 + 7000)</f>
        <v>85066</v>
      </c>
    </row>
    <row r="3">
      <c r="A3" s="14" t="s">
        <v>199</v>
      </c>
      <c r="B3" s="14" t="s">
        <v>200</v>
      </c>
      <c r="C3" s="51">
        <f t="shared" ref="C3:C7" si="1">DATE(2023, 3, 30)</f>
        <v>45015</v>
      </c>
      <c r="D3" s="38">
        <v>3115.0</v>
      </c>
      <c r="E3" s="38"/>
    </row>
    <row r="4">
      <c r="A4" s="14" t="s">
        <v>146</v>
      </c>
      <c r="B4" s="14" t="s">
        <v>48</v>
      </c>
      <c r="C4" s="51">
        <f t="shared" si="1"/>
        <v>45015</v>
      </c>
      <c r="D4" s="14">
        <v>3077.0</v>
      </c>
      <c r="E4" s="14"/>
      <c r="K4" s="4" t="s">
        <v>13</v>
      </c>
      <c r="L4" s="23">
        <f>L1 + L2 + L3</f>
        <v>85955</v>
      </c>
    </row>
    <row r="5">
      <c r="A5" s="14" t="s">
        <v>115</v>
      </c>
      <c r="B5" s="14" t="s">
        <v>116</v>
      </c>
      <c r="C5" s="51">
        <f t="shared" si="1"/>
        <v>45015</v>
      </c>
      <c r="D5" s="14">
        <v>7500.0</v>
      </c>
      <c r="E5" s="14"/>
      <c r="K5" s="39" t="s">
        <v>114</v>
      </c>
      <c r="L5" s="13">
        <f>L4 - (D27)</f>
        <v>5696</v>
      </c>
    </row>
    <row r="6">
      <c r="A6" s="14" t="s">
        <v>193</v>
      </c>
      <c r="B6" s="14" t="s">
        <v>8</v>
      </c>
      <c r="C6" s="51">
        <f t="shared" si="1"/>
        <v>45015</v>
      </c>
      <c r="D6" s="14">
        <v>1960.0</v>
      </c>
      <c r="E6" s="14"/>
    </row>
    <row r="7">
      <c r="A7" s="14" t="s">
        <v>10</v>
      </c>
      <c r="B7" s="14" t="s">
        <v>140</v>
      </c>
      <c r="C7" s="51">
        <f t="shared" si="1"/>
        <v>45015</v>
      </c>
      <c r="D7" s="14">
        <v>3000.0</v>
      </c>
      <c r="E7" s="14"/>
    </row>
    <row r="8">
      <c r="A8" s="14" t="s">
        <v>204</v>
      </c>
      <c r="B8" s="14" t="s">
        <v>205</v>
      </c>
      <c r="D8" s="14">
        <v>0.0</v>
      </c>
      <c r="E8" s="14"/>
      <c r="F8" s="45"/>
    </row>
    <row r="9">
      <c r="A9" s="14" t="s">
        <v>140</v>
      </c>
      <c r="B9" s="14" t="s">
        <v>140</v>
      </c>
      <c r="C9" s="51">
        <f t="shared" ref="C9:C11" si="2">DATE(2023, 3, 30)</f>
        <v>45015</v>
      </c>
      <c r="D9" s="14">
        <v>15000.0</v>
      </c>
      <c r="E9" s="14"/>
      <c r="F9" s="45"/>
    </row>
    <row r="10">
      <c r="A10" s="14" t="s">
        <v>139</v>
      </c>
      <c r="B10" s="14" t="s">
        <v>140</v>
      </c>
      <c r="C10" s="51">
        <f t="shared" si="2"/>
        <v>45015</v>
      </c>
      <c r="D10" s="14">
        <v>2000.0</v>
      </c>
      <c r="E10" s="14"/>
      <c r="K10" s="39" t="s">
        <v>117</v>
      </c>
      <c r="L10" s="34">
        <f>L5 - D61</f>
        <v>4151</v>
      </c>
    </row>
    <row r="11">
      <c r="A11" s="14" t="s">
        <v>183</v>
      </c>
      <c r="B11" s="14" t="s">
        <v>52</v>
      </c>
      <c r="C11" s="51">
        <f t="shared" si="2"/>
        <v>45015</v>
      </c>
      <c r="D11" s="14">
        <v>1500.0</v>
      </c>
      <c r="E11" s="14"/>
    </row>
    <row r="12">
      <c r="A12" s="14" t="s">
        <v>79</v>
      </c>
      <c r="B12" s="14" t="s">
        <v>8</v>
      </c>
      <c r="C12" s="51">
        <f t="shared" ref="C12:C13" si="3">DATE(2023, 4, 2)</f>
        <v>45018</v>
      </c>
      <c r="D12" s="14">
        <v>12000.0</v>
      </c>
      <c r="E12" s="14"/>
      <c r="F12" s="45"/>
    </row>
    <row r="13">
      <c r="A13" s="8" t="s">
        <v>47</v>
      </c>
      <c r="B13" s="8" t="s">
        <v>48</v>
      </c>
      <c r="C13" s="51">
        <f t="shared" si="3"/>
        <v>45018</v>
      </c>
      <c r="D13" s="8">
        <v>1000.0</v>
      </c>
      <c r="E13" s="14"/>
      <c r="F13" s="45"/>
      <c r="K13" s="14" t="s">
        <v>206</v>
      </c>
      <c r="L13" s="57">
        <f>(115000 - 75000)</f>
        <v>40000</v>
      </c>
    </row>
    <row r="14">
      <c r="A14" s="14" t="s">
        <v>196</v>
      </c>
      <c r="B14" s="14" t="s">
        <v>8</v>
      </c>
      <c r="C14" s="51">
        <f t="shared" ref="C14:C18" si="4">DATE(2023, 4, 1)</f>
        <v>45017</v>
      </c>
      <c r="D14" s="14">
        <v>500.0</v>
      </c>
    </row>
    <row r="15">
      <c r="A15" s="14" t="s">
        <v>148</v>
      </c>
      <c r="B15" s="14" t="s">
        <v>8</v>
      </c>
      <c r="C15" s="51">
        <f t="shared" si="4"/>
        <v>45017</v>
      </c>
      <c r="D15" s="14">
        <v>3280.0</v>
      </c>
      <c r="E15" s="14"/>
    </row>
    <row r="16">
      <c r="A16" s="14" t="s">
        <v>207</v>
      </c>
      <c r="B16" s="14" t="s">
        <v>8</v>
      </c>
      <c r="C16" s="51">
        <f t="shared" si="4"/>
        <v>45017</v>
      </c>
      <c r="D16" s="14">
        <v>1265.0</v>
      </c>
      <c r="E16" s="14"/>
    </row>
    <row r="17">
      <c r="A17" s="14" t="s">
        <v>208</v>
      </c>
      <c r="B17" s="14" t="s">
        <v>209</v>
      </c>
      <c r="C17" s="51">
        <f t="shared" si="4"/>
        <v>45017</v>
      </c>
      <c r="D17" s="8">
        <f>(1000 + 1000 + 1000 + 1000 + 3500)</f>
        <v>7500</v>
      </c>
      <c r="E17" s="14"/>
    </row>
    <row r="18">
      <c r="A18" s="14" t="s">
        <v>210</v>
      </c>
      <c r="B18" s="14" t="s">
        <v>52</v>
      </c>
      <c r="C18" s="51">
        <f t="shared" si="4"/>
        <v>45017</v>
      </c>
      <c r="D18" s="14">
        <v>1000.0</v>
      </c>
    </row>
    <row r="19">
      <c r="A19" s="14" t="s">
        <v>60</v>
      </c>
      <c r="B19" s="14" t="s">
        <v>52</v>
      </c>
      <c r="C19" s="51">
        <f>DATE(2023, 4, 9)</f>
        <v>45025</v>
      </c>
      <c r="D19" s="14">
        <v>1357.0</v>
      </c>
      <c r="E19" s="14"/>
    </row>
    <row r="20">
      <c r="A20" s="14" t="s">
        <v>211</v>
      </c>
      <c r="B20" s="14" t="s">
        <v>24</v>
      </c>
      <c r="C20" s="51">
        <f>DATE(2023, 4, 10)</f>
        <v>45026</v>
      </c>
      <c r="D20" s="14">
        <v>155.0</v>
      </c>
    </row>
    <row r="21">
      <c r="A21" s="14" t="s">
        <v>212</v>
      </c>
      <c r="B21" s="14" t="s">
        <v>48</v>
      </c>
      <c r="C21" s="51">
        <f>DATE(2023, 4, 13)</f>
        <v>45029</v>
      </c>
      <c r="D21" s="14">
        <v>2000.0</v>
      </c>
    </row>
    <row r="22">
      <c r="A22" s="14" t="s">
        <v>213</v>
      </c>
      <c r="D22" s="14">
        <f>(11000 + 1000)</f>
        <v>12000</v>
      </c>
    </row>
    <row r="23">
      <c r="A23" s="14" t="s">
        <v>167</v>
      </c>
      <c r="D23" s="14">
        <v>50.0</v>
      </c>
    </row>
    <row r="24">
      <c r="A24" s="14" t="s">
        <v>51</v>
      </c>
      <c r="B24" s="14" t="s">
        <v>52</v>
      </c>
      <c r="C24" s="51">
        <f>DATE(2023, 4, 2)</f>
        <v>45018</v>
      </c>
      <c r="D24" s="14">
        <v>1000.0</v>
      </c>
    </row>
    <row r="27">
      <c r="C27" s="8" t="s">
        <v>37</v>
      </c>
      <c r="D27" s="29">
        <f>SUM(D3:D25)</f>
        <v>80259</v>
      </c>
      <c r="E27" s="58"/>
    </row>
    <row r="28">
      <c r="K28" s="32"/>
      <c r="M28" s="50"/>
    </row>
    <row r="29">
      <c r="K29" s="44"/>
    </row>
    <row r="31">
      <c r="A31" s="17" t="s">
        <v>38</v>
      </c>
      <c r="B31" s="2"/>
      <c r="C31" s="2"/>
      <c r="D31" s="3"/>
      <c r="E31" s="59"/>
    </row>
    <row r="32">
      <c r="A32" s="6" t="s">
        <v>2</v>
      </c>
      <c r="B32" s="6" t="s">
        <v>3</v>
      </c>
      <c r="C32" s="6"/>
      <c r="D32" s="6" t="s">
        <v>5</v>
      </c>
      <c r="E32" s="6"/>
    </row>
    <row r="33">
      <c r="A33" s="14" t="s">
        <v>183</v>
      </c>
      <c r="B33" s="14" t="s">
        <v>52</v>
      </c>
      <c r="C33" s="14" t="s">
        <v>202</v>
      </c>
      <c r="D33" s="14">
        <v>1000.0</v>
      </c>
      <c r="E33" s="14"/>
    </row>
    <row r="34">
      <c r="A34" s="8" t="s">
        <v>104</v>
      </c>
      <c r="B34" s="8" t="s">
        <v>24</v>
      </c>
      <c r="C34" s="55" t="s">
        <v>202</v>
      </c>
      <c r="D34" s="14">
        <f>(700 - D20)</f>
        <v>545</v>
      </c>
      <c r="E34" s="14"/>
    </row>
    <row r="35">
      <c r="E35" s="14"/>
    </row>
    <row r="36">
      <c r="E36" s="14"/>
    </row>
    <row r="54">
      <c r="H54" s="14"/>
    </row>
    <row r="61">
      <c r="C61" s="8" t="s">
        <v>39</v>
      </c>
      <c r="D61" s="19">
        <f>SUM(D33:D58)</f>
        <v>1545</v>
      </c>
      <c r="E61" s="60"/>
    </row>
    <row r="66">
      <c r="A66" s="14" t="s">
        <v>131</v>
      </c>
      <c r="B66" s="14" t="s">
        <v>38</v>
      </c>
      <c r="D66" s="14">
        <v>30000.0</v>
      </c>
      <c r="E66" s="14"/>
    </row>
  </sheetData>
  <mergeCells count="2">
    <mergeCell ref="A1:D1"/>
    <mergeCell ref="A31:D3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'APR23'!L5</f>
        <v>5696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61" t="s">
        <v>214</v>
      </c>
      <c r="H2" s="61" t="s">
        <v>215</v>
      </c>
      <c r="K2" s="4" t="s">
        <v>6</v>
      </c>
      <c r="L2" s="31">
        <f>92401 + 1357</f>
        <v>93758</v>
      </c>
    </row>
    <row r="3">
      <c r="A3" s="62" t="s">
        <v>104</v>
      </c>
      <c r="B3" s="62" t="s">
        <v>24</v>
      </c>
      <c r="C3" s="63">
        <f t="shared" ref="C3:C8" si="1">DATE(2023, 4, 27)</f>
        <v>45043</v>
      </c>
      <c r="D3" s="64">
        <v>150.0</v>
      </c>
      <c r="E3" s="38"/>
      <c r="G3" s="65"/>
      <c r="H3" s="66" t="s">
        <v>216</v>
      </c>
    </row>
    <row r="4">
      <c r="A4" s="64" t="s">
        <v>199</v>
      </c>
      <c r="B4" s="64" t="s">
        <v>200</v>
      </c>
      <c r="C4" s="63">
        <f t="shared" si="1"/>
        <v>45043</v>
      </c>
      <c r="D4" s="67">
        <f>(7018 + 242)</f>
        <v>7260</v>
      </c>
      <c r="E4" s="14"/>
      <c r="G4" s="68"/>
      <c r="H4" s="66" t="s">
        <v>206</v>
      </c>
      <c r="K4" s="4" t="s">
        <v>13</v>
      </c>
      <c r="L4" s="23">
        <f>L1 + L2</f>
        <v>99454</v>
      </c>
    </row>
    <row r="5">
      <c r="A5" s="64" t="s">
        <v>146</v>
      </c>
      <c r="B5" s="64" t="s">
        <v>48</v>
      </c>
      <c r="C5" s="63">
        <f t="shared" si="1"/>
        <v>45043</v>
      </c>
      <c r="D5" s="64">
        <v>3909.0</v>
      </c>
      <c r="E5" s="14"/>
      <c r="G5" s="69"/>
      <c r="H5" s="66" t="s">
        <v>7</v>
      </c>
      <c r="K5" s="39" t="s">
        <v>114</v>
      </c>
      <c r="L5" s="13">
        <f>L4 - D39 + D35</f>
        <v>12657.87</v>
      </c>
    </row>
    <row r="6">
      <c r="A6" s="70" t="s">
        <v>10</v>
      </c>
      <c r="B6" s="70" t="s">
        <v>140</v>
      </c>
      <c r="C6" s="63">
        <f t="shared" si="1"/>
        <v>45043</v>
      </c>
      <c r="D6" s="70">
        <v>3000.0</v>
      </c>
      <c r="E6" s="14"/>
      <c r="G6" s="71"/>
      <c r="H6" s="66" t="s">
        <v>183</v>
      </c>
    </row>
    <row r="7">
      <c r="A7" s="70" t="s">
        <v>140</v>
      </c>
      <c r="B7" s="70" t="s">
        <v>140</v>
      </c>
      <c r="C7" s="63">
        <f t="shared" si="1"/>
        <v>45043</v>
      </c>
      <c r="D7" s="72">
        <v>35000.0</v>
      </c>
      <c r="E7" s="14"/>
      <c r="G7" s="73"/>
      <c r="H7" s="74" t="s">
        <v>92</v>
      </c>
    </row>
    <row r="8">
      <c r="A8" s="75" t="s">
        <v>196</v>
      </c>
      <c r="B8" s="75" t="s">
        <v>8</v>
      </c>
      <c r="C8" s="63">
        <f t="shared" si="1"/>
        <v>45043</v>
      </c>
      <c r="D8" s="75">
        <v>500.0</v>
      </c>
      <c r="E8" s="14"/>
      <c r="F8" s="45"/>
      <c r="G8" s="76"/>
      <c r="H8" s="74" t="s">
        <v>217</v>
      </c>
    </row>
    <row r="9">
      <c r="A9" s="64" t="s">
        <v>115</v>
      </c>
      <c r="B9" s="64" t="s">
        <v>116</v>
      </c>
      <c r="C9" s="63">
        <f t="shared" ref="C9:C11" si="2">DATE(2023, 4, 29)</f>
        <v>45045</v>
      </c>
      <c r="D9" s="64">
        <v>8500.0</v>
      </c>
      <c r="E9" s="14"/>
      <c r="F9" s="45"/>
    </row>
    <row r="10">
      <c r="A10" s="64" t="s">
        <v>193</v>
      </c>
      <c r="B10" s="64" t="s">
        <v>8</v>
      </c>
      <c r="C10" s="63">
        <f t="shared" si="2"/>
        <v>45045</v>
      </c>
      <c r="D10" s="64">
        <v>1960.0</v>
      </c>
      <c r="E10" s="14"/>
      <c r="K10" s="39" t="s">
        <v>117</v>
      </c>
      <c r="L10" s="34">
        <f>L5 - D51 + (SUMIFS(D3:D32, B3:B32, "=TEMP"))</f>
        <v>9672.87</v>
      </c>
    </row>
    <row r="11">
      <c r="A11" s="70" t="s">
        <v>139</v>
      </c>
      <c r="B11" s="70" t="s">
        <v>140</v>
      </c>
      <c r="C11" s="63">
        <f t="shared" si="2"/>
        <v>45045</v>
      </c>
      <c r="D11" s="70">
        <v>2000.0</v>
      </c>
      <c r="E11" s="14"/>
    </row>
    <row r="12">
      <c r="A12" s="77" t="s">
        <v>218</v>
      </c>
      <c r="B12" s="77" t="s">
        <v>52</v>
      </c>
      <c r="C12" s="63">
        <f>DATE(2023, 5,1)</f>
        <v>45047</v>
      </c>
      <c r="D12" s="78">
        <v>3000.0</v>
      </c>
      <c r="E12" s="14"/>
      <c r="F12" s="45"/>
    </row>
    <row r="13">
      <c r="A13" s="75" t="s">
        <v>79</v>
      </c>
      <c r="B13" s="75" t="s">
        <v>8</v>
      </c>
      <c r="C13" s="63">
        <f t="shared" ref="C13:C17" si="3">DATE(2023, 5,2)</f>
        <v>45048</v>
      </c>
      <c r="D13" s="75">
        <v>5000.0</v>
      </c>
      <c r="E13" s="14"/>
      <c r="F13" s="45"/>
    </row>
    <row r="14">
      <c r="A14" s="79" t="s">
        <v>47</v>
      </c>
      <c r="B14" s="79" t="s">
        <v>48</v>
      </c>
      <c r="C14" s="63">
        <f t="shared" si="3"/>
        <v>45048</v>
      </c>
      <c r="D14" s="79">
        <v>1000.0</v>
      </c>
      <c r="K14" s="14" t="s">
        <v>140</v>
      </c>
      <c r="L14" s="80">
        <f>(40000 - 20000 + D7)</f>
        <v>55000</v>
      </c>
    </row>
    <row r="15">
      <c r="A15" s="75" t="s">
        <v>79</v>
      </c>
      <c r="B15" s="75" t="s">
        <v>8</v>
      </c>
      <c r="C15" s="63">
        <f t="shared" si="3"/>
        <v>45048</v>
      </c>
      <c r="D15" s="75">
        <v>1000.0</v>
      </c>
      <c r="E15" s="14"/>
    </row>
    <row r="16">
      <c r="A16" s="64" t="s">
        <v>219</v>
      </c>
      <c r="B16" s="62" t="s">
        <v>24</v>
      </c>
      <c r="C16" s="63">
        <f t="shared" si="3"/>
        <v>45048</v>
      </c>
      <c r="D16" s="64">
        <v>155.0</v>
      </c>
      <c r="E16" s="14"/>
    </row>
    <row r="17">
      <c r="A17" s="81" t="s">
        <v>220</v>
      </c>
      <c r="B17" s="81" t="s">
        <v>94</v>
      </c>
      <c r="C17" s="63">
        <f t="shared" si="3"/>
        <v>45048</v>
      </c>
      <c r="D17" s="81">
        <v>1000.0</v>
      </c>
      <c r="E17" s="14"/>
    </row>
    <row r="18">
      <c r="A18" s="64" t="s">
        <v>148</v>
      </c>
      <c r="B18" s="64" t="s">
        <v>8</v>
      </c>
      <c r="C18" s="82">
        <f t="shared" ref="C18:C19" si="4">DATE(2023, 5,4)</f>
        <v>45050</v>
      </c>
      <c r="D18" s="64">
        <v>3280.0</v>
      </c>
    </row>
    <row r="19">
      <c r="A19" s="64" t="s">
        <v>221</v>
      </c>
      <c r="B19" s="64" t="s">
        <v>8</v>
      </c>
      <c r="C19" s="82">
        <f t="shared" si="4"/>
        <v>45050</v>
      </c>
      <c r="D19" s="64">
        <f>1265+270</f>
        <v>1535</v>
      </c>
      <c r="E19" s="14"/>
    </row>
    <row r="20">
      <c r="A20" s="77" t="s">
        <v>222</v>
      </c>
      <c r="B20" s="77" t="s">
        <v>52</v>
      </c>
      <c r="C20" s="82">
        <f>DATE(2023, 5,8)</f>
        <v>45054</v>
      </c>
      <c r="D20" s="83">
        <f>(77.15 + 88.6)</f>
        <v>165.75</v>
      </c>
    </row>
    <row r="21">
      <c r="A21" s="77" t="s">
        <v>51</v>
      </c>
      <c r="B21" s="77" t="s">
        <v>52</v>
      </c>
      <c r="C21" s="82">
        <f>DATE(2023, 5,4)</f>
        <v>45050</v>
      </c>
      <c r="D21" s="78">
        <v>2000.0</v>
      </c>
    </row>
    <row r="22">
      <c r="A22" s="14" t="s">
        <v>223</v>
      </c>
      <c r="B22" s="14" t="s">
        <v>24</v>
      </c>
      <c r="D22" s="14">
        <v>155.0</v>
      </c>
    </row>
    <row r="23">
      <c r="A23" s="64" t="s">
        <v>60</v>
      </c>
      <c r="B23" s="64" t="s">
        <v>52</v>
      </c>
      <c r="C23" s="82">
        <f>DATE(2023, 5,11)</f>
        <v>45057</v>
      </c>
      <c r="D23" s="64">
        <v>1357.0</v>
      </c>
    </row>
    <row r="24">
      <c r="A24" s="14" t="s">
        <v>224</v>
      </c>
      <c r="B24" s="14" t="s">
        <v>225</v>
      </c>
      <c r="C24" s="82">
        <f t="shared" ref="C24:C25" si="5">DATE(2023, 5,8)</f>
        <v>45054</v>
      </c>
      <c r="D24" s="14">
        <v>436.0</v>
      </c>
    </row>
    <row r="25">
      <c r="A25" s="14" t="s">
        <v>222</v>
      </c>
      <c r="C25" s="82">
        <f t="shared" si="5"/>
        <v>45054</v>
      </c>
      <c r="D25" s="14">
        <v>77.0</v>
      </c>
    </row>
    <row r="26">
      <c r="A26" s="81" t="s">
        <v>226</v>
      </c>
      <c r="B26" s="81" t="s">
        <v>94</v>
      </c>
      <c r="C26" s="82">
        <f t="shared" ref="C26:C28" si="6">DATE(2023, 5,15)</f>
        <v>45061</v>
      </c>
      <c r="D26" s="81">
        <v>1000.0</v>
      </c>
    </row>
    <row r="27">
      <c r="A27" s="14" t="s">
        <v>227</v>
      </c>
      <c r="B27" s="14" t="s">
        <v>24</v>
      </c>
      <c r="C27" s="82">
        <f t="shared" si="6"/>
        <v>45061</v>
      </c>
      <c r="D27" s="14">
        <v>228.38</v>
      </c>
      <c r="E27" s="84"/>
    </row>
    <row r="28">
      <c r="A28" s="14" t="s">
        <v>228</v>
      </c>
      <c r="B28" s="14" t="s">
        <v>24</v>
      </c>
      <c r="C28" s="82">
        <f t="shared" si="6"/>
        <v>45061</v>
      </c>
      <c r="D28" s="14">
        <v>155.0</v>
      </c>
      <c r="K28" s="32"/>
      <c r="M28" s="50"/>
    </row>
    <row r="29">
      <c r="A29" s="14" t="s">
        <v>229</v>
      </c>
      <c r="B29" s="14" t="s">
        <v>116</v>
      </c>
      <c r="C29" s="82">
        <f>DATE(2023, 5,23)</f>
        <v>45069</v>
      </c>
      <c r="D29" s="14">
        <v>600.0</v>
      </c>
      <c r="K29" s="44"/>
    </row>
    <row r="30">
      <c r="A30" s="14" t="s">
        <v>197</v>
      </c>
      <c r="B30" s="14" t="s">
        <v>116</v>
      </c>
      <c r="C30" s="82">
        <f t="shared" ref="C30:C31" si="7">DATE(2023, 5,21)</f>
        <v>45067</v>
      </c>
      <c r="D30" s="14">
        <v>100.0</v>
      </c>
    </row>
    <row r="31">
      <c r="A31" s="64" t="s">
        <v>60</v>
      </c>
      <c r="B31" s="64" t="s">
        <v>52</v>
      </c>
      <c r="C31" s="82">
        <f t="shared" si="7"/>
        <v>45067</v>
      </c>
      <c r="D31" s="64">
        <v>236.0</v>
      </c>
    </row>
    <row r="32">
      <c r="A32" s="14" t="s">
        <v>230</v>
      </c>
      <c r="B32" s="14" t="s">
        <v>52</v>
      </c>
      <c r="C32" s="82">
        <f>DATE(2023, 5,22)</f>
        <v>45068</v>
      </c>
      <c r="D32" s="14">
        <v>500.0</v>
      </c>
    </row>
    <row r="33">
      <c r="A33" s="14" t="s">
        <v>231</v>
      </c>
      <c r="B33" s="14" t="s">
        <v>24</v>
      </c>
      <c r="D33" s="8">
        <f>(155 * 3)</f>
        <v>465</v>
      </c>
    </row>
    <row r="34">
      <c r="A34" s="14" t="s">
        <v>232</v>
      </c>
      <c r="B34" s="14" t="s">
        <v>52</v>
      </c>
      <c r="C34" s="82">
        <f>DATE(2023, 5,26)</f>
        <v>45072</v>
      </c>
      <c r="D34" s="14">
        <v>2000.0</v>
      </c>
    </row>
    <row r="35">
      <c r="A35" s="14" t="s">
        <v>233</v>
      </c>
      <c r="D35" s="14">
        <v>928.0</v>
      </c>
    </row>
    <row r="39">
      <c r="C39" s="8" t="s">
        <v>37</v>
      </c>
      <c r="D39" s="29">
        <f>SUM(D3:D34)</f>
        <v>87724.13</v>
      </c>
    </row>
    <row r="43">
      <c r="A43" s="17" t="s">
        <v>38</v>
      </c>
      <c r="B43" s="2"/>
      <c r="C43" s="2"/>
      <c r="D43" s="3"/>
      <c r="E43" s="59"/>
    </row>
    <row r="44">
      <c r="A44" s="6" t="s">
        <v>2</v>
      </c>
      <c r="B44" s="6" t="s">
        <v>3</v>
      </c>
      <c r="C44" s="6"/>
      <c r="D44" s="6" t="s">
        <v>5</v>
      </c>
      <c r="E44" s="6"/>
    </row>
    <row r="45">
      <c r="A45" s="62" t="s">
        <v>104</v>
      </c>
      <c r="B45" s="62" t="s">
        <v>24</v>
      </c>
      <c r="C45" s="85" t="s">
        <v>202</v>
      </c>
      <c r="D45" s="64">
        <f>(800 - (D3 + D16 + D22 + D28))</f>
        <v>185</v>
      </c>
      <c r="E45" s="14"/>
    </row>
    <row r="46">
      <c r="E46" s="86">
        <f>SUM(D45)</f>
        <v>185</v>
      </c>
    </row>
    <row r="47">
      <c r="A47" s="77" t="s">
        <v>183</v>
      </c>
      <c r="B47" s="77" t="s">
        <v>52</v>
      </c>
      <c r="C47" s="77" t="s">
        <v>234</v>
      </c>
      <c r="D47" s="78">
        <f>(8000 - (D21 + D29 + D30 + D32 + D34))</f>
        <v>2800</v>
      </c>
      <c r="E47" s="87">
        <f>D47</f>
        <v>2800</v>
      </c>
    </row>
    <row r="51">
      <c r="C51" s="8" t="s">
        <v>39</v>
      </c>
      <c r="D51" s="19">
        <f>SUM(D45:D49)</f>
        <v>2985</v>
      </c>
    </row>
    <row r="54">
      <c r="A54" s="14" t="s">
        <v>131</v>
      </c>
      <c r="B54" s="14" t="s">
        <v>38</v>
      </c>
      <c r="D54" s="33">
        <v>30000.0</v>
      </c>
      <c r="H54" s="14"/>
    </row>
    <row r="68">
      <c r="E68" s="88"/>
    </row>
    <row r="73">
      <c r="E73" s="14"/>
    </row>
  </sheetData>
  <mergeCells count="2">
    <mergeCell ref="A1:D1"/>
    <mergeCell ref="A43:D4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'MAY23'!L5</f>
        <v>12657.87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96120.0</v>
      </c>
    </row>
    <row r="3">
      <c r="A3" s="64" t="s">
        <v>199</v>
      </c>
      <c r="B3" s="64" t="s">
        <v>200</v>
      </c>
      <c r="C3" s="90">
        <f>DATE(2023, 5, 30)</f>
        <v>45076</v>
      </c>
      <c r="D3" s="67">
        <f>(7810 + 2693)</f>
        <v>10503</v>
      </c>
      <c r="E3" s="38"/>
      <c r="G3" s="65"/>
      <c r="H3" s="66" t="s">
        <v>216</v>
      </c>
      <c r="K3" s="14" t="s">
        <v>235</v>
      </c>
      <c r="L3" s="14">
        <v>128.0</v>
      </c>
    </row>
    <row r="4">
      <c r="A4" s="64" t="s">
        <v>146</v>
      </c>
      <c r="B4" s="64" t="s">
        <v>48</v>
      </c>
      <c r="C4" s="90">
        <f>DATE(2023, 5, 31)</f>
        <v>45077</v>
      </c>
      <c r="D4" s="64">
        <v>3909.0</v>
      </c>
      <c r="E4" s="14"/>
      <c r="G4" s="68"/>
      <c r="H4" s="66" t="s">
        <v>206</v>
      </c>
      <c r="K4" s="4" t="s">
        <v>13</v>
      </c>
      <c r="L4" s="23">
        <f>L1 + L2 + L3</f>
        <v>108905.87</v>
      </c>
    </row>
    <row r="5">
      <c r="A5" s="64" t="s">
        <v>115</v>
      </c>
      <c r="B5" s="64" t="s">
        <v>116</v>
      </c>
      <c r="C5" s="90">
        <f t="shared" ref="C5:C6" si="1">DATE(2023, 5, 30)</f>
        <v>45076</v>
      </c>
      <c r="D5" s="64">
        <v>8500.0</v>
      </c>
      <c r="E5" s="14"/>
      <c r="G5" s="69"/>
      <c r="H5" s="66" t="s">
        <v>7</v>
      </c>
      <c r="K5" s="39" t="s">
        <v>114</v>
      </c>
      <c r="L5" s="13">
        <f>L4 - (D40)</f>
        <v>8227.87</v>
      </c>
    </row>
    <row r="6">
      <c r="A6" s="64" t="s">
        <v>193</v>
      </c>
      <c r="B6" s="64" t="s">
        <v>8</v>
      </c>
      <c r="C6" s="90">
        <f t="shared" si="1"/>
        <v>45076</v>
      </c>
      <c r="D6" s="64">
        <v>1960.0</v>
      </c>
      <c r="E6" s="14"/>
      <c r="G6" s="71"/>
      <c r="H6" s="66" t="s">
        <v>183</v>
      </c>
    </row>
    <row r="7">
      <c r="A7" s="64" t="s">
        <v>221</v>
      </c>
      <c r="B7" s="64" t="s">
        <v>8</v>
      </c>
      <c r="C7" s="91">
        <f>DATE(2023, 6, 19)</f>
        <v>45096</v>
      </c>
      <c r="D7" s="64">
        <v>1265.0</v>
      </c>
      <c r="E7" s="14"/>
      <c r="G7" s="92"/>
      <c r="H7" s="66" t="s">
        <v>205</v>
      </c>
    </row>
    <row r="8">
      <c r="A8" s="70" t="s">
        <v>10</v>
      </c>
      <c r="B8" s="70" t="s">
        <v>140</v>
      </c>
      <c r="C8" s="93">
        <f t="shared" ref="C8:C10" si="2">DATE(2023, 5, 30)</f>
        <v>45076</v>
      </c>
      <c r="D8" s="70">
        <v>3000.0</v>
      </c>
      <c r="E8" s="14"/>
      <c r="F8" s="45"/>
    </row>
    <row r="9">
      <c r="A9" s="70" t="s">
        <v>139</v>
      </c>
      <c r="B9" s="70" t="s">
        <v>140</v>
      </c>
      <c r="C9" s="93">
        <f t="shared" si="2"/>
        <v>45076</v>
      </c>
      <c r="D9" s="70">
        <v>2000.0</v>
      </c>
      <c r="E9" s="14"/>
      <c r="F9" s="45"/>
    </row>
    <row r="10">
      <c r="A10" s="94" t="s">
        <v>236</v>
      </c>
      <c r="B10" s="94" t="s">
        <v>24</v>
      </c>
      <c r="C10" s="90">
        <f t="shared" si="2"/>
        <v>45076</v>
      </c>
      <c r="D10" s="94">
        <v>155.0</v>
      </c>
      <c r="E10" s="14"/>
      <c r="K10" s="39" t="s">
        <v>117</v>
      </c>
      <c r="L10" s="34">
        <f>L5 - D64 + (SUMIFS(D3:D25, B3:B25, "=TEMP"))</f>
        <v>4210.87</v>
      </c>
    </row>
    <row r="11">
      <c r="A11" s="70" t="s">
        <v>237</v>
      </c>
      <c r="B11" s="70" t="s">
        <v>140</v>
      </c>
      <c r="C11" s="93">
        <f t="shared" ref="C11:C15" si="3">DATE(2023, 5, 31)</f>
        <v>45077</v>
      </c>
      <c r="D11" s="70">
        <v>2000.0</v>
      </c>
      <c r="E11" s="14"/>
    </row>
    <row r="12">
      <c r="A12" s="70" t="s">
        <v>140</v>
      </c>
      <c r="B12" s="70" t="s">
        <v>140</v>
      </c>
      <c r="C12" s="93">
        <f t="shared" si="3"/>
        <v>45077</v>
      </c>
      <c r="D12" s="72">
        <v>45000.0</v>
      </c>
      <c r="E12" s="14"/>
      <c r="F12" s="45"/>
    </row>
    <row r="13">
      <c r="A13" s="75" t="s">
        <v>79</v>
      </c>
      <c r="B13" s="75" t="s">
        <v>8</v>
      </c>
      <c r="C13" s="95">
        <f t="shared" si="3"/>
        <v>45077</v>
      </c>
      <c r="D13" s="75">
        <v>10000.0</v>
      </c>
      <c r="E13" s="14"/>
      <c r="F13" s="45"/>
    </row>
    <row r="14">
      <c r="A14" s="79" t="s">
        <v>47</v>
      </c>
      <c r="B14" s="79" t="s">
        <v>48</v>
      </c>
      <c r="C14" s="95">
        <f t="shared" si="3"/>
        <v>45077</v>
      </c>
      <c r="D14" s="79">
        <v>1000.0</v>
      </c>
      <c r="K14" s="14" t="s">
        <v>140</v>
      </c>
      <c r="L14" s="80">
        <f>(40000 + D12)</f>
        <v>85000</v>
      </c>
    </row>
    <row r="15">
      <c r="A15" s="75" t="s">
        <v>196</v>
      </c>
      <c r="B15" s="75" t="s">
        <v>8</v>
      </c>
      <c r="C15" s="95">
        <f t="shared" si="3"/>
        <v>45077</v>
      </c>
      <c r="D15" s="75">
        <v>500.0</v>
      </c>
      <c r="E15" s="14"/>
    </row>
    <row r="16">
      <c r="A16" s="96" t="s">
        <v>230</v>
      </c>
      <c r="B16" s="96" t="s">
        <v>52</v>
      </c>
      <c r="C16" s="97">
        <f>DATE(2023, 6, 1)</f>
        <v>45078</v>
      </c>
      <c r="D16" s="96">
        <v>1000.0</v>
      </c>
      <c r="E16" s="14"/>
    </row>
    <row r="17">
      <c r="A17" s="14" t="s">
        <v>238</v>
      </c>
      <c r="B17" s="14" t="s">
        <v>52</v>
      </c>
      <c r="C17" s="91">
        <f>DATE(2023, 6, 2)</f>
        <v>45079</v>
      </c>
      <c r="D17" s="14">
        <v>2000.0</v>
      </c>
      <c r="E17" s="14"/>
    </row>
    <row r="18">
      <c r="A18" s="14" t="s">
        <v>239</v>
      </c>
      <c r="B18" s="14" t="s">
        <v>24</v>
      </c>
      <c r="C18" s="91">
        <f>DATE(2023, 6, 4)</f>
        <v>45081</v>
      </c>
      <c r="D18" s="14">
        <v>840.0</v>
      </c>
    </row>
    <row r="19">
      <c r="A19" s="14" t="s">
        <v>156</v>
      </c>
      <c r="B19" s="14" t="s">
        <v>52</v>
      </c>
      <c r="C19" s="91">
        <f>DATE(2023, 6, 6)</f>
        <v>45083</v>
      </c>
      <c r="D19" s="14">
        <v>1000.0</v>
      </c>
      <c r="E19" s="14"/>
    </row>
    <row r="20">
      <c r="A20" s="94" t="s">
        <v>240</v>
      </c>
      <c r="B20" s="94" t="s">
        <v>24</v>
      </c>
      <c r="C20" s="91">
        <f>DATE(2023, 6, 5)</f>
        <v>45082</v>
      </c>
      <c r="D20" s="14">
        <v>155.0</v>
      </c>
    </row>
    <row r="21">
      <c r="A21" s="64" t="s">
        <v>60</v>
      </c>
      <c r="B21" s="64" t="s">
        <v>24</v>
      </c>
      <c r="C21" s="91">
        <f>DATE(2023, 6, 8)</f>
        <v>45085</v>
      </c>
      <c r="D21" s="64">
        <v>1357.0</v>
      </c>
    </row>
    <row r="22">
      <c r="A22" s="94" t="s">
        <v>241</v>
      </c>
      <c r="B22" s="94" t="s">
        <v>24</v>
      </c>
      <c r="C22" s="91">
        <f>DATE(2023, 6, 14)</f>
        <v>45091</v>
      </c>
      <c r="D22" s="14">
        <v>155.0</v>
      </c>
    </row>
    <row r="23">
      <c r="A23" s="94" t="s">
        <v>242</v>
      </c>
      <c r="B23" s="94" t="s">
        <v>24</v>
      </c>
      <c r="C23" s="91">
        <f>DATE(2023, 6, 10)</f>
        <v>45087</v>
      </c>
      <c r="D23" s="14">
        <v>155.0</v>
      </c>
    </row>
    <row r="24">
      <c r="A24" s="14" t="s">
        <v>197</v>
      </c>
      <c r="B24" s="14" t="s">
        <v>52</v>
      </c>
      <c r="C24" s="91">
        <f t="shared" ref="C24:C25" si="4">DATE(2023, 6, 14)</f>
        <v>45091</v>
      </c>
      <c r="D24" s="14">
        <v>100.0</v>
      </c>
    </row>
    <row r="25">
      <c r="A25" s="14" t="s">
        <v>243</v>
      </c>
      <c r="B25" s="14" t="s">
        <v>52</v>
      </c>
      <c r="C25" s="91">
        <f t="shared" si="4"/>
        <v>45091</v>
      </c>
      <c r="D25" s="14">
        <v>843.0</v>
      </c>
    </row>
    <row r="26">
      <c r="A26" s="64" t="s">
        <v>244</v>
      </c>
      <c r="B26" s="64" t="s">
        <v>24</v>
      </c>
      <c r="C26" s="91">
        <f>DATE(2023, 6, 18)</f>
        <v>45095</v>
      </c>
      <c r="D26" s="64">
        <v>1088.0</v>
      </c>
    </row>
    <row r="27">
      <c r="A27" s="94" t="s">
        <v>245</v>
      </c>
      <c r="B27" s="94" t="s">
        <v>24</v>
      </c>
      <c r="C27" s="91">
        <f t="shared" ref="C27:C28" si="5">DATE(2023, 6, 14)</f>
        <v>45091</v>
      </c>
      <c r="D27" s="14">
        <v>155.0</v>
      </c>
      <c r="E27" s="84"/>
    </row>
    <row r="28">
      <c r="A28" s="94" t="s">
        <v>246</v>
      </c>
      <c r="B28" s="94" t="s">
        <v>24</v>
      </c>
      <c r="C28" s="91">
        <f t="shared" si="5"/>
        <v>45091</v>
      </c>
      <c r="D28" s="14">
        <v>155.0</v>
      </c>
      <c r="K28" s="32"/>
      <c r="M28" s="50"/>
    </row>
    <row r="29">
      <c r="A29" s="14" t="s">
        <v>146</v>
      </c>
      <c r="B29" s="14" t="s">
        <v>24</v>
      </c>
      <c r="C29" s="91">
        <f>DATE(2023, 6, 19)</f>
        <v>45096</v>
      </c>
      <c r="D29" s="14">
        <v>583.0</v>
      </c>
      <c r="K29" s="44"/>
    </row>
    <row r="30">
      <c r="A30" s="14" t="s">
        <v>156</v>
      </c>
      <c r="B30" s="14" t="s">
        <v>52</v>
      </c>
      <c r="C30" s="91">
        <f>DATE(2023, 6, 27)</f>
        <v>45104</v>
      </c>
      <c r="D30" s="14">
        <v>1300.0</v>
      </c>
    </row>
    <row r="40">
      <c r="C40" s="8" t="s">
        <v>37</v>
      </c>
      <c r="D40" s="29">
        <f>SUM(D3:D30)</f>
        <v>100678</v>
      </c>
    </row>
    <row r="46">
      <c r="A46" s="17" t="s">
        <v>38</v>
      </c>
      <c r="B46" s="2"/>
      <c r="C46" s="2"/>
      <c r="D46" s="3"/>
      <c r="E46" s="59"/>
    </row>
    <row r="47">
      <c r="A47" s="6" t="s">
        <v>2</v>
      </c>
      <c r="B47" s="6" t="s">
        <v>3</v>
      </c>
      <c r="C47" s="6"/>
      <c r="D47" s="6" t="s">
        <v>5</v>
      </c>
      <c r="E47" s="6"/>
    </row>
    <row r="48">
      <c r="A48" s="62"/>
      <c r="B48" s="62"/>
      <c r="C48" s="85"/>
      <c r="D48" s="64"/>
      <c r="E48" s="14"/>
    </row>
    <row r="49">
      <c r="E49" s="14"/>
    </row>
    <row r="50">
      <c r="A50" s="64"/>
      <c r="B50" s="64"/>
      <c r="C50" s="85"/>
      <c r="D50" s="64"/>
      <c r="E50" s="8">
        <f>SUM(D48:D50)</f>
        <v>0</v>
      </c>
    </row>
    <row r="52">
      <c r="A52" s="70" t="s">
        <v>10</v>
      </c>
      <c r="B52" s="70" t="s">
        <v>140</v>
      </c>
      <c r="C52" s="98" t="s">
        <v>202</v>
      </c>
      <c r="D52" s="72">
        <v>3000.0</v>
      </c>
    </row>
    <row r="54">
      <c r="H54" s="14"/>
    </row>
    <row r="59">
      <c r="A59" s="77" t="s">
        <v>183</v>
      </c>
      <c r="B59" s="77" t="s">
        <v>52</v>
      </c>
      <c r="C59" s="77" t="s">
        <v>202</v>
      </c>
      <c r="D59" s="78">
        <f>(8000 - (D16 + D17 + D18 + D19 + D25 + D30))</f>
        <v>1017</v>
      </c>
      <c r="E59" s="8">
        <f>D59</f>
        <v>1017</v>
      </c>
    </row>
    <row r="64">
      <c r="C64" s="8" t="s">
        <v>39</v>
      </c>
      <c r="D64" s="19">
        <f>SUM(D48:D62)</f>
        <v>4017</v>
      </c>
    </row>
    <row r="66">
      <c r="A66" s="14" t="s">
        <v>131</v>
      </c>
      <c r="B66" s="14" t="s">
        <v>38</v>
      </c>
      <c r="D66" s="14">
        <v>30000.0</v>
      </c>
      <c r="E66" s="14"/>
    </row>
  </sheetData>
  <mergeCells count="2">
    <mergeCell ref="A1:D1"/>
    <mergeCell ref="A46:D4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'JUN23'!L5</f>
        <v>8227.87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92401.0</v>
      </c>
    </row>
    <row r="3">
      <c r="A3" s="94" t="s">
        <v>236</v>
      </c>
      <c r="B3" s="94" t="s">
        <v>24</v>
      </c>
      <c r="C3" s="90">
        <f t="shared" ref="C3:C6" si="1">DATE(2023, 6, 30)</f>
        <v>45107</v>
      </c>
      <c r="D3" s="94">
        <v>155.0</v>
      </c>
      <c r="E3" s="38">
        <v>1.0</v>
      </c>
      <c r="G3" s="65"/>
      <c r="H3" s="66" t="s">
        <v>216</v>
      </c>
    </row>
    <row r="4">
      <c r="A4" s="64" t="s">
        <v>199</v>
      </c>
      <c r="B4" s="64" t="s">
        <v>200</v>
      </c>
      <c r="C4" s="90">
        <f t="shared" si="1"/>
        <v>45107</v>
      </c>
      <c r="D4" s="67">
        <v>6662.0</v>
      </c>
      <c r="E4" s="14">
        <v>1.0</v>
      </c>
      <c r="G4" s="68"/>
      <c r="H4" s="66" t="s">
        <v>206</v>
      </c>
      <c r="K4" s="4" t="s">
        <v>13</v>
      </c>
      <c r="L4" s="23">
        <f>L1 + L2</f>
        <v>100628.87</v>
      </c>
    </row>
    <row r="5">
      <c r="A5" s="64" t="s">
        <v>201</v>
      </c>
      <c r="B5" s="64" t="s">
        <v>200</v>
      </c>
      <c r="C5" s="90">
        <f t="shared" si="1"/>
        <v>45107</v>
      </c>
      <c r="D5" s="67">
        <v>8763.0</v>
      </c>
      <c r="E5" s="14">
        <v>1.0</v>
      </c>
      <c r="G5" s="69"/>
      <c r="H5" s="66" t="s">
        <v>7</v>
      </c>
      <c r="K5" s="39" t="s">
        <v>114</v>
      </c>
      <c r="L5" s="13">
        <f>L4 - (D32)</f>
        <v>11728.87</v>
      </c>
    </row>
    <row r="6">
      <c r="A6" s="64" t="s">
        <v>146</v>
      </c>
      <c r="B6" s="64" t="s">
        <v>48</v>
      </c>
      <c r="C6" s="90">
        <f t="shared" si="1"/>
        <v>45107</v>
      </c>
      <c r="D6" s="64">
        <v>3909.0</v>
      </c>
      <c r="E6" s="14">
        <v>1.0</v>
      </c>
      <c r="G6" s="71"/>
      <c r="H6" s="66" t="s">
        <v>183</v>
      </c>
    </row>
    <row r="7">
      <c r="A7" s="77" t="s">
        <v>247</v>
      </c>
      <c r="B7" s="77" t="s">
        <v>94</v>
      </c>
      <c r="C7" s="90">
        <f t="shared" ref="C7:C8" si="2">DATE(2023, 6, 29)</f>
        <v>45106</v>
      </c>
      <c r="D7" s="78">
        <v>1500.0</v>
      </c>
      <c r="E7" s="14">
        <v>1.0</v>
      </c>
      <c r="G7" s="92"/>
      <c r="H7" s="66" t="s">
        <v>205</v>
      </c>
    </row>
    <row r="8">
      <c r="A8" s="99" t="s">
        <v>247</v>
      </c>
      <c r="B8" s="99" t="s">
        <v>92</v>
      </c>
      <c r="C8" s="100">
        <f t="shared" si="2"/>
        <v>45106</v>
      </c>
      <c r="D8" s="99">
        <f> (3698 - 1500)</f>
        <v>2198</v>
      </c>
      <c r="E8" s="14">
        <v>2.0</v>
      </c>
      <c r="F8" s="45"/>
    </row>
    <row r="9">
      <c r="A9" s="70" t="s">
        <v>248</v>
      </c>
      <c r="B9" s="70" t="s">
        <v>140</v>
      </c>
      <c r="C9" s="98" t="s">
        <v>202</v>
      </c>
      <c r="D9" s="72">
        <v>40000.0</v>
      </c>
      <c r="E9" s="14">
        <v>1.0</v>
      </c>
      <c r="F9" s="45"/>
    </row>
    <row r="10">
      <c r="A10" s="70" t="s">
        <v>10</v>
      </c>
      <c r="B10" s="70" t="s">
        <v>140</v>
      </c>
      <c r="C10" s="98" t="s">
        <v>202</v>
      </c>
      <c r="D10" s="70">
        <v>3000.0</v>
      </c>
      <c r="E10" s="14">
        <v>1.0</v>
      </c>
      <c r="K10" s="39" t="s">
        <v>117</v>
      </c>
      <c r="L10" s="34">
        <f>L5 - D61 + (SUMIFS(D3:D30, B3:B30, "=TEMP"))</f>
        <v>-237.13</v>
      </c>
    </row>
    <row r="11">
      <c r="A11" s="70" t="s">
        <v>139</v>
      </c>
      <c r="B11" s="70" t="s">
        <v>140</v>
      </c>
      <c r="C11" s="98" t="s">
        <v>202</v>
      </c>
      <c r="D11" s="70">
        <v>2000.0</v>
      </c>
      <c r="E11" s="14">
        <v>1.0</v>
      </c>
    </row>
    <row r="12">
      <c r="A12" s="75" t="s">
        <v>79</v>
      </c>
      <c r="B12" s="75" t="s">
        <v>8</v>
      </c>
      <c r="C12" s="75" t="s">
        <v>203</v>
      </c>
      <c r="D12" s="75">
        <v>9000.0</v>
      </c>
      <c r="E12" s="14"/>
      <c r="F12" s="45"/>
    </row>
    <row r="13">
      <c r="A13" s="79" t="s">
        <v>47</v>
      </c>
      <c r="B13" s="79" t="s">
        <v>48</v>
      </c>
      <c r="C13" s="75" t="s">
        <v>203</v>
      </c>
      <c r="D13" s="79">
        <v>1000.0</v>
      </c>
      <c r="E13" s="14"/>
      <c r="F13" s="45"/>
    </row>
    <row r="14">
      <c r="A14" s="14" t="s">
        <v>249</v>
      </c>
      <c r="B14" s="14" t="s">
        <v>94</v>
      </c>
      <c r="D14" s="14">
        <v>500.0</v>
      </c>
      <c r="E14" s="14">
        <v>1.0</v>
      </c>
      <c r="K14" s="99" t="s">
        <v>92</v>
      </c>
      <c r="L14" s="101">
        <f>(SUMIFS(D3:D30, B3:B30, "=TEMP"))</f>
        <v>11237</v>
      </c>
    </row>
    <row r="15">
      <c r="A15" s="99" t="s">
        <v>249</v>
      </c>
      <c r="B15" s="99" t="s">
        <v>92</v>
      </c>
      <c r="C15" s="102"/>
      <c r="D15" s="99">
        <v>5110.0</v>
      </c>
      <c r="E15" s="14">
        <v>2.0</v>
      </c>
    </row>
    <row r="16">
      <c r="A16" s="14" t="s">
        <v>240</v>
      </c>
      <c r="B16" s="14" t="s">
        <v>24</v>
      </c>
      <c r="D16" s="14">
        <v>155.0</v>
      </c>
      <c r="E16" s="14">
        <v>1.0</v>
      </c>
    </row>
    <row r="17">
      <c r="A17" s="14" t="s">
        <v>197</v>
      </c>
      <c r="B17" s="14" t="s">
        <v>52</v>
      </c>
      <c r="D17" s="14">
        <f>100 + 100</f>
        <v>200</v>
      </c>
      <c r="E17" s="14"/>
    </row>
    <row r="18">
      <c r="A18" s="14" t="s">
        <v>250</v>
      </c>
      <c r="B18" s="14" t="s">
        <v>52</v>
      </c>
      <c r="D18" s="14">
        <v>330.0</v>
      </c>
    </row>
    <row r="19">
      <c r="A19" s="99" t="s">
        <v>251</v>
      </c>
      <c r="B19" s="99" t="s">
        <v>92</v>
      </c>
      <c r="C19" s="102"/>
      <c r="D19" s="99">
        <v>520.0</v>
      </c>
    </row>
    <row r="20">
      <c r="A20" s="99" t="s">
        <v>252</v>
      </c>
      <c r="B20" s="99" t="s">
        <v>92</v>
      </c>
      <c r="C20" s="102"/>
      <c r="D20" s="99">
        <v>330.0</v>
      </c>
    </row>
    <row r="21">
      <c r="A21" s="99" t="s">
        <v>253</v>
      </c>
      <c r="B21" s="99" t="s">
        <v>92</v>
      </c>
      <c r="C21" s="102"/>
      <c r="D21" s="99">
        <v>2500.0</v>
      </c>
      <c r="E21" s="14">
        <v>2.0</v>
      </c>
    </row>
    <row r="22">
      <c r="A22" s="14" t="s">
        <v>254</v>
      </c>
      <c r="B22" s="14" t="s">
        <v>52</v>
      </c>
      <c r="D22" s="14">
        <v>140.0</v>
      </c>
    </row>
    <row r="23">
      <c r="A23" s="99" t="s">
        <v>255</v>
      </c>
      <c r="B23" s="99" t="s">
        <v>92</v>
      </c>
      <c r="C23" s="102"/>
      <c r="D23" s="102">
        <f>140+90+349</f>
        <v>579</v>
      </c>
    </row>
    <row r="24">
      <c r="A24" s="14" t="s">
        <v>256</v>
      </c>
      <c r="B24" s="14" t="s">
        <v>52</v>
      </c>
      <c r="D24" s="14">
        <v>349.0</v>
      </c>
    </row>
    <row r="27">
      <c r="E27" s="84"/>
    </row>
    <row r="28">
      <c r="K28" s="32"/>
      <c r="M28" s="50"/>
    </row>
    <row r="29">
      <c r="K29" s="44"/>
    </row>
    <row r="32">
      <c r="C32" s="8" t="s">
        <v>37</v>
      </c>
      <c r="D32" s="29">
        <f>SUM(D3:D30)</f>
        <v>88900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202</v>
      </c>
      <c r="D37" s="64">
        <f>(800 - (D3 + D16))</f>
        <v>490</v>
      </c>
      <c r="E37" s="14"/>
    </row>
    <row r="38">
      <c r="A38" s="64" t="s">
        <v>221</v>
      </c>
      <c r="B38" s="64" t="s">
        <v>8</v>
      </c>
      <c r="C38" s="85" t="s">
        <v>202</v>
      </c>
      <c r="D38" s="64">
        <v>1265.0</v>
      </c>
      <c r="E38" s="14"/>
    </row>
    <row r="39">
      <c r="A39" s="64" t="s">
        <v>60</v>
      </c>
      <c r="B39" s="64" t="s">
        <v>52</v>
      </c>
      <c r="C39" s="85" t="s">
        <v>202</v>
      </c>
      <c r="D39" s="64">
        <f>(1357 + 1150)</f>
        <v>2507</v>
      </c>
    </row>
    <row r="43">
      <c r="A43" s="64" t="s">
        <v>115</v>
      </c>
      <c r="B43" s="64" t="s">
        <v>116</v>
      </c>
      <c r="C43" s="85" t="s">
        <v>202</v>
      </c>
      <c r="D43" s="64">
        <v>8500.0</v>
      </c>
    </row>
    <row r="44">
      <c r="A44" s="64" t="s">
        <v>193</v>
      </c>
      <c r="B44" s="64" t="s">
        <v>8</v>
      </c>
      <c r="C44" s="85" t="s">
        <v>202</v>
      </c>
      <c r="D44" s="64">
        <v>1960.0</v>
      </c>
      <c r="E44" s="8">
        <f>SUM(D37:D44)</f>
        <v>14722</v>
      </c>
    </row>
    <row r="46">
      <c r="A46" s="70" t="s">
        <v>257</v>
      </c>
      <c r="B46" s="70" t="s">
        <v>140</v>
      </c>
      <c r="C46" s="98" t="s">
        <v>202</v>
      </c>
      <c r="D46" s="70">
        <v>2000.0</v>
      </c>
    </row>
    <row r="49">
      <c r="E49" s="8">
        <f>SUM(D10:D11)</f>
        <v>5000</v>
      </c>
    </row>
    <row r="53">
      <c r="A53" s="75" t="s">
        <v>196</v>
      </c>
      <c r="B53" s="75" t="s">
        <v>8</v>
      </c>
      <c r="C53" s="75" t="s">
        <v>202</v>
      </c>
      <c r="D53" s="75">
        <v>500.0</v>
      </c>
      <c r="E53" s="8">
        <f>SUM(D12:D53)</f>
        <v>126835</v>
      </c>
    </row>
    <row r="54">
      <c r="H54" s="14"/>
    </row>
    <row r="55">
      <c r="A55" s="77" t="s">
        <v>183</v>
      </c>
      <c r="B55" s="77" t="s">
        <v>52</v>
      </c>
      <c r="C55" s="77" t="s">
        <v>202</v>
      </c>
      <c r="D55" s="78">
        <f> 7000 - (SUMIFS(D3:D25, B3:B25, "=PERSONAL"))</f>
        <v>5981</v>
      </c>
    </row>
    <row r="56">
      <c r="E56" s="8">
        <f>D55 + D7</f>
        <v>7481</v>
      </c>
    </row>
    <row r="58">
      <c r="B58" s="77"/>
      <c r="C58" s="77"/>
    </row>
    <row r="61">
      <c r="C61" s="8" t="s">
        <v>39</v>
      </c>
      <c r="D61" s="19">
        <f>SUM(D37:D59)</f>
        <v>23203</v>
      </c>
      <c r="E61" s="88"/>
    </row>
    <row r="66">
      <c r="A66" s="14" t="s">
        <v>131</v>
      </c>
      <c r="B66" s="14" t="s">
        <v>38</v>
      </c>
      <c r="D66" s="14">
        <v>30000.0</v>
      </c>
      <c r="E66" s="14"/>
    </row>
  </sheetData>
  <mergeCells count="2">
    <mergeCell ref="A1:D1"/>
    <mergeCell ref="A35:D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3313.0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196555.0</v>
      </c>
    </row>
    <row r="3">
      <c r="E3" s="38"/>
      <c r="G3" s="65"/>
      <c r="H3" s="66" t="s">
        <v>216</v>
      </c>
    </row>
    <row r="4">
      <c r="A4" s="14" t="s">
        <v>258</v>
      </c>
      <c r="B4" s="14" t="s">
        <v>24</v>
      </c>
      <c r="C4" s="90">
        <f t="shared" ref="C4:C6" si="1">DATE(2023, 7, 29)</f>
        <v>45136</v>
      </c>
      <c r="D4" s="14">
        <v>1179.0</v>
      </c>
      <c r="E4" s="14"/>
      <c r="G4" s="68"/>
      <c r="H4" s="66" t="s">
        <v>206</v>
      </c>
      <c r="K4" s="4" t="s">
        <v>13</v>
      </c>
      <c r="L4" s="23">
        <f>L1 + L2</f>
        <v>199868</v>
      </c>
    </row>
    <row r="5">
      <c r="A5" s="64" t="s">
        <v>115</v>
      </c>
      <c r="B5" s="64" t="s">
        <v>116</v>
      </c>
      <c r="C5" s="90">
        <f t="shared" si="1"/>
        <v>45136</v>
      </c>
      <c r="D5" s="64">
        <v>8500.0</v>
      </c>
      <c r="E5" s="14"/>
      <c r="G5" s="69"/>
      <c r="H5" s="66" t="s">
        <v>7</v>
      </c>
      <c r="K5" s="39" t="s">
        <v>114</v>
      </c>
      <c r="L5" s="13">
        <f>L4 - (D42)</f>
        <v>16904</v>
      </c>
    </row>
    <row r="6">
      <c r="A6" s="64" t="s">
        <v>193</v>
      </c>
      <c r="B6" s="64" t="s">
        <v>8</v>
      </c>
      <c r="C6" s="90">
        <f t="shared" si="1"/>
        <v>45136</v>
      </c>
      <c r="D6" s="64">
        <v>1960.0</v>
      </c>
      <c r="E6" s="14"/>
      <c r="G6" s="71"/>
      <c r="H6" s="66" t="s">
        <v>183</v>
      </c>
    </row>
    <row r="7">
      <c r="A7" s="14" t="s">
        <v>259</v>
      </c>
      <c r="B7" s="14" t="s">
        <v>52</v>
      </c>
      <c r="C7" s="90">
        <f>DATE(2023, 7, 28)</f>
        <v>45135</v>
      </c>
      <c r="D7" s="14">
        <v>1000.0</v>
      </c>
      <c r="E7" s="14"/>
      <c r="G7" s="92"/>
      <c r="H7" s="66" t="s">
        <v>205</v>
      </c>
    </row>
    <row r="8">
      <c r="A8" s="14" t="s">
        <v>260</v>
      </c>
      <c r="B8" s="14" t="s">
        <v>52</v>
      </c>
      <c r="D8" s="8">
        <f>(517 + 208 + 134 + 212)</f>
        <v>1071</v>
      </c>
      <c r="E8" s="14"/>
      <c r="F8" s="45"/>
    </row>
    <row r="9">
      <c r="A9" s="14" t="s">
        <v>197</v>
      </c>
      <c r="B9" s="14" t="s">
        <v>24</v>
      </c>
      <c r="D9" s="14">
        <f>(100+100)</f>
        <v>200</v>
      </c>
      <c r="E9" s="14"/>
      <c r="F9" s="45"/>
      <c r="S9" s="39" t="s">
        <v>117</v>
      </c>
      <c r="T9" s="34">
        <f>L5 - D65 + (SUMIFS(D5:D25, B5:B25, "=TEMP"))</f>
        <v>13124</v>
      </c>
    </row>
    <row r="10">
      <c r="A10" s="94"/>
      <c r="B10" s="94"/>
      <c r="C10" s="90"/>
      <c r="D10" s="94"/>
      <c r="E10" s="14"/>
    </row>
    <row r="11">
      <c r="A11" s="14" t="s">
        <v>261</v>
      </c>
      <c r="C11" s="90">
        <f>DATE(2023, 7, 28)</f>
        <v>45135</v>
      </c>
      <c r="D11" s="14">
        <v>356.0</v>
      </c>
      <c r="E11" s="14"/>
    </row>
    <row r="12">
      <c r="A12" s="14" t="s">
        <v>262</v>
      </c>
      <c r="C12" s="90">
        <f t="shared" ref="C12:C15" si="2">DATE(2023, 7, 30)</f>
        <v>45137</v>
      </c>
      <c r="D12" s="14">
        <v>2300.0</v>
      </c>
      <c r="E12" s="14"/>
      <c r="F12" s="45"/>
    </row>
    <row r="13">
      <c r="A13" s="14" t="s">
        <v>263</v>
      </c>
      <c r="C13" s="90">
        <f t="shared" si="2"/>
        <v>45137</v>
      </c>
      <c r="D13" s="14">
        <v>390.0</v>
      </c>
      <c r="E13" s="14"/>
      <c r="F13" s="45"/>
    </row>
    <row r="14">
      <c r="A14" s="64" t="s">
        <v>199</v>
      </c>
      <c r="B14" s="64" t="s">
        <v>200</v>
      </c>
      <c r="C14" s="90">
        <f t="shared" si="2"/>
        <v>45137</v>
      </c>
      <c r="D14" s="67">
        <v>2649.0</v>
      </c>
      <c r="K14" s="14" t="s">
        <v>140</v>
      </c>
      <c r="L14" s="80">
        <f>(40000 + D29)</f>
        <v>160000</v>
      </c>
    </row>
    <row r="15">
      <c r="A15" s="64" t="s">
        <v>264</v>
      </c>
      <c r="B15" s="64" t="s">
        <v>92</v>
      </c>
      <c r="C15" s="90">
        <f t="shared" si="2"/>
        <v>45137</v>
      </c>
      <c r="D15" s="67">
        <v>3315.0</v>
      </c>
    </row>
    <row r="16">
      <c r="A16" s="14" t="s">
        <v>138</v>
      </c>
      <c r="B16" s="14" t="s">
        <v>52</v>
      </c>
      <c r="C16" s="90">
        <f t="shared" ref="C16:C21" si="3">DATE(2023, 7, 31)</f>
        <v>45138</v>
      </c>
      <c r="D16" s="14">
        <v>676.0</v>
      </c>
      <c r="E16" s="14"/>
    </row>
    <row r="17">
      <c r="A17" s="64" t="s">
        <v>221</v>
      </c>
      <c r="B17" s="64" t="s">
        <v>8</v>
      </c>
      <c r="C17" s="90">
        <f t="shared" si="3"/>
        <v>45138</v>
      </c>
      <c r="D17" s="64">
        <v>1265.0</v>
      </c>
      <c r="E17" s="14"/>
    </row>
    <row r="18">
      <c r="A18" s="70" t="s">
        <v>10</v>
      </c>
      <c r="B18" s="70" t="s">
        <v>140</v>
      </c>
      <c r="C18" s="90">
        <f t="shared" si="3"/>
        <v>45138</v>
      </c>
      <c r="D18" s="70">
        <v>3000.0</v>
      </c>
    </row>
    <row r="19">
      <c r="A19" s="14" t="s">
        <v>183</v>
      </c>
      <c r="B19" s="14" t="s">
        <v>52</v>
      </c>
      <c r="C19" s="90">
        <f t="shared" si="3"/>
        <v>45138</v>
      </c>
      <c r="D19" s="14">
        <v>5000.0</v>
      </c>
      <c r="E19" s="14"/>
    </row>
    <row r="20">
      <c r="A20" s="14" t="s">
        <v>265</v>
      </c>
      <c r="B20" s="14" t="s">
        <v>24</v>
      </c>
      <c r="C20" s="90">
        <f t="shared" si="3"/>
        <v>45138</v>
      </c>
      <c r="D20" s="14">
        <v>1500.0</v>
      </c>
    </row>
    <row r="21">
      <c r="A21" s="75" t="s">
        <v>196</v>
      </c>
      <c r="B21" s="75" t="s">
        <v>8</v>
      </c>
      <c r="C21" s="90">
        <f t="shared" si="3"/>
        <v>45138</v>
      </c>
      <c r="D21" s="75">
        <v>500.0</v>
      </c>
    </row>
    <row r="22">
      <c r="A22" s="75" t="s">
        <v>79</v>
      </c>
      <c r="B22" s="75" t="s">
        <v>8</v>
      </c>
      <c r="C22" s="90">
        <f t="shared" ref="C22:C25" si="4">DATE(2023, 8, 2)</f>
        <v>45140</v>
      </c>
      <c r="D22" s="75">
        <v>12000.0</v>
      </c>
    </row>
    <row r="23">
      <c r="A23" s="79" t="s">
        <v>47</v>
      </c>
      <c r="B23" s="79" t="s">
        <v>48</v>
      </c>
      <c r="C23" s="90">
        <f t="shared" si="4"/>
        <v>45140</v>
      </c>
      <c r="D23" s="79">
        <v>1000.0</v>
      </c>
    </row>
    <row r="24">
      <c r="A24" s="64" t="s">
        <v>146</v>
      </c>
      <c r="B24" s="64" t="s">
        <v>48</v>
      </c>
      <c r="C24" s="90">
        <f t="shared" si="4"/>
        <v>45140</v>
      </c>
      <c r="D24" s="64">
        <v>5571.0</v>
      </c>
    </row>
    <row r="25">
      <c r="A25" s="70" t="s">
        <v>139</v>
      </c>
      <c r="B25" s="70" t="s">
        <v>140</v>
      </c>
      <c r="C25" s="90">
        <f t="shared" si="4"/>
        <v>45140</v>
      </c>
      <c r="D25" s="70">
        <v>2000.0</v>
      </c>
    </row>
    <row r="26">
      <c r="A26" s="14" t="s">
        <v>195</v>
      </c>
      <c r="B26" s="14" t="s">
        <v>24</v>
      </c>
      <c r="C26" s="90">
        <f>DATE(2023, 7, 31)</f>
        <v>45138</v>
      </c>
      <c r="D26" s="8">
        <f>(155+155+155)</f>
        <v>465</v>
      </c>
    </row>
    <row r="27">
      <c r="A27" s="14" t="s">
        <v>266</v>
      </c>
      <c r="B27" s="14" t="s">
        <v>24</v>
      </c>
      <c r="C27" s="90">
        <f>DATE(2023, 8, 2)</f>
        <v>45140</v>
      </c>
      <c r="D27" s="14">
        <v>3067.0</v>
      </c>
      <c r="E27" s="84"/>
    </row>
    <row r="28">
      <c r="A28" s="14" t="s">
        <v>267</v>
      </c>
      <c r="B28" s="14" t="s">
        <v>94</v>
      </c>
      <c r="C28" s="90">
        <f>DATE(2023, 8, 3)</f>
        <v>45141</v>
      </c>
      <c r="D28" s="14">
        <v>4000.0</v>
      </c>
      <c r="K28" s="32"/>
      <c r="M28" s="50"/>
    </row>
    <row r="29">
      <c r="A29" s="70" t="s">
        <v>160</v>
      </c>
      <c r="B29" s="70" t="s">
        <v>48</v>
      </c>
      <c r="C29" s="90">
        <f>DATE(2023, 8, 4)</f>
        <v>45142</v>
      </c>
      <c r="D29" s="72">
        <v>120000.0</v>
      </c>
      <c r="K29" s="44"/>
    </row>
    <row r="42">
      <c r="C42" s="8" t="s">
        <v>37</v>
      </c>
      <c r="D42" s="29">
        <f>SUM(D3:D40)</f>
        <v>182964</v>
      </c>
    </row>
    <row r="46">
      <c r="A46" s="17" t="s">
        <v>38</v>
      </c>
      <c r="B46" s="2"/>
      <c r="C46" s="2"/>
      <c r="D46" s="3"/>
      <c r="E46" s="59"/>
    </row>
    <row r="47">
      <c r="A47" s="6" t="s">
        <v>2</v>
      </c>
      <c r="B47" s="6" t="s">
        <v>3</v>
      </c>
      <c r="C47" s="6"/>
      <c r="D47" s="6" t="s">
        <v>5</v>
      </c>
      <c r="E47" s="6"/>
    </row>
    <row r="48">
      <c r="A48" s="62" t="s">
        <v>104</v>
      </c>
      <c r="B48" s="62" t="s">
        <v>24</v>
      </c>
      <c r="C48" s="85" t="s">
        <v>202</v>
      </c>
      <c r="D48" s="64">
        <f>(800 - (D26))</f>
        <v>335</v>
      </c>
      <c r="E48" s="14"/>
    </row>
    <row r="49">
      <c r="B49" s="64"/>
      <c r="C49" s="85"/>
      <c r="E49" s="14"/>
    </row>
    <row r="50">
      <c r="A50" s="64" t="s">
        <v>60</v>
      </c>
      <c r="B50" s="64" t="s">
        <v>52</v>
      </c>
      <c r="C50" s="85" t="s">
        <v>202</v>
      </c>
      <c r="D50" s="64">
        <f>(1357 + 1150)</f>
        <v>2507</v>
      </c>
      <c r="E50" s="8">
        <f>SUM(D48:D50)</f>
        <v>2842</v>
      </c>
    </row>
    <row r="52">
      <c r="E52" s="8">
        <f>D29</f>
        <v>120000</v>
      </c>
    </row>
    <row r="54">
      <c r="A54" s="77" t="s">
        <v>183</v>
      </c>
      <c r="B54" s="77" t="s">
        <v>52</v>
      </c>
      <c r="C54" s="77" t="s">
        <v>202</v>
      </c>
      <c r="D54" s="78">
        <f>12000 - (D7 + D8 + D19 + D16)</f>
        <v>4253</v>
      </c>
      <c r="E54" s="8">
        <f>D54</f>
        <v>4253</v>
      </c>
      <c r="H54" s="14"/>
    </row>
    <row r="61">
      <c r="E61" s="88"/>
    </row>
    <row r="65">
      <c r="C65" s="8" t="s">
        <v>39</v>
      </c>
      <c r="D65" s="19">
        <f>SUM(D48:D62)</f>
        <v>7095</v>
      </c>
    </row>
    <row r="66">
      <c r="E66" s="14"/>
    </row>
    <row r="88">
      <c r="A88" s="14" t="s">
        <v>131</v>
      </c>
      <c r="B88" s="14" t="s">
        <v>38</v>
      </c>
      <c r="D88" s="14">
        <v>30000.0</v>
      </c>
    </row>
  </sheetData>
  <mergeCells count="2">
    <mergeCell ref="A1:D1"/>
    <mergeCell ref="A46:D4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1130.0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94405+1178</f>
        <v>95583</v>
      </c>
    </row>
    <row r="3">
      <c r="A3" s="64" t="s">
        <v>199</v>
      </c>
      <c r="B3" s="64" t="s">
        <v>200</v>
      </c>
      <c r="C3" s="85" t="s">
        <v>268</v>
      </c>
      <c r="D3" s="67">
        <v>6472.0</v>
      </c>
      <c r="E3" s="38"/>
      <c r="G3" s="65"/>
      <c r="H3" s="66" t="s">
        <v>269</v>
      </c>
    </row>
    <row r="4">
      <c r="A4" s="14" t="s">
        <v>197</v>
      </c>
      <c r="C4" s="85" t="s">
        <v>268</v>
      </c>
      <c r="D4" s="14">
        <f>100+100+100</f>
        <v>300</v>
      </c>
      <c r="E4" s="14"/>
      <c r="G4" s="68"/>
      <c r="H4" s="66" t="s">
        <v>206</v>
      </c>
      <c r="K4" s="4" t="s">
        <v>13</v>
      </c>
      <c r="L4" s="23">
        <f>L1 + L2</f>
        <v>96713</v>
      </c>
    </row>
    <row r="5">
      <c r="A5" s="77" t="s">
        <v>183</v>
      </c>
      <c r="B5" s="77" t="s">
        <v>52</v>
      </c>
      <c r="C5" s="85" t="s">
        <v>268</v>
      </c>
      <c r="D5" s="78">
        <v>2000.0</v>
      </c>
      <c r="E5" s="14"/>
      <c r="G5" s="69"/>
      <c r="H5" s="66" t="s">
        <v>7</v>
      </c>
      <c r="K5" s="39" t="s">
        <v>114</v>
      </c>
      <c r="L5" s="13">
        <f>L4 - (D42)</f>
        <v>35452</v>
      </c>
    </row>
    <row r="6">
      <c r="A6" s="64" t="s">
        <v>201</v>
      </c>
      <c r="B6" s="64" t="s">
        <v>200</v>
      </c>
      <c r="C6" s="85" t="s">
        <v>268</v>
      </c>
      <c r="D6" s="67">
        <v>3657.0</v>
      </c>
      <c r="E6" s="14"/>
      <c r="G6" s="71"/>
      <c r="H6" s="66" t="s">
        <v>183</v>
      </c>
      <c r="K6" s="39" t="s">
        <v>117</v>
      </c>
      <c r="L6" s="34">
        <f>L5 - D75 + (SUMIFS(D7:D59, B7:B59, "=TEMP"))</f>
        <v>24072</v>
      </c>
    </row>
    <row r="7">
      <c r="A7" s="103" t="s">
        <v>270</v>
      </c>
      <c r="B7" s="103" t="s">
        <v>92</v>
      </c>
      <c r="C7" s="103" t="s">
        <v>268</v>
      </c>
      <c r="D7" s="103">
        <v>2500.0</v>
      </c>
      <c r="E7" s="14"/>
      <c r="G7" s="92"/>
      <c r="H7" s="66" t="s">
        <v>205</v>
      </c>
    </row>
    <row r="8">
      <c r="A8" s="103" t="s">
        <v>264</v>
      </c>
      <c r="B8" s="103" t="s">
        <v>92</v>
      </c>
      <c r="C8" s="104" t="s">
        <v>268</v>
      </c>
      <c r="D8" s="105">
        <v>2919.0</v>
      </c>
      <c r="E8" s="14"/>
      <c r="F8" s="45"/>
    </row>
    <row r="9">
      <c r="A9" s="70" t="s">
        <v>10</v>
      </c>
      <c r="B9" s="70" t="s">
        <v>140</v>
      </c>
      <c r="C9" s="85" t="s">
        <v>268</v>
      </c>
      <c r="D9" s="70">
        <v>3000.0</v>
      </c>
      <c r="E9" s="14"/>
      <c r="F9" s="45"/>
    </row>
    <row r="10">
      <c r="A10" s="64" t="s">
        <v>146</v>
      </c>
      <c r="B10" s="64" t="s">
        <v>24</v>
      </c>
      <c r="C10" s="85" t="s">
        <v>268</v>
      </c>
      <c r="D10" s="64">
        <v>5572.0</v>
      </c>
      <c r="E10" s="14"/>
    </row>
    <row r="11">
      <c r="A11" s="64" t="s">
        <v>193</v>
      </c>
      <c r="B11" s="64" t="s">
        <v>8</v>
      </c>
      <c r="C11" s="85" t="s">
        <v>268</v>
      </c>
      <c r="D11" s="64">
        <v>1960.0</v>
      </c>
      <c r="E11" s="14"/>
    </row>
    <row r="12">
      <c r="A12" s="64" t="s">
        <v>115</v>
      </c>
      <c r="B12" s="64" t="s">
        <v>116</v>
      </c>
      <c r="C12" s="85" t="s">
        <v>268</v>
      </c>
      <c r="D12" s="64">
        <v>8500.0</v>
      </c>
      <c r="E12" s="14"/>
      <c r="F12" s="45"/>
    </row>
    <row r="13">
      <c r="A13" s="106" t="s">
        <v>271</v>
      </c>
      <c r="B13" s="107"/>
      <c r="C13" s="108"/>
      <c r="D13" s="106">
        <v>2844.0</v>
      </c>
      <c r="E13" s="14"/>
      <c r="F13" s="45"/>
    </row>
    <row r="14">
      <c r="A14" s="106" t="s">
        <v>272</v>
      </c>
      <c r="B14" s="107"/>
      <c r="C14" s="107"/>
      <c r="D14" s="106">
        <v>155.0</v>
      </c>
      <c r="L14" s="80"/>
    </row>
    <row r="15">
      <c r="A15" s="106" t="s">
        <v>273</v>
      </c>
      <c r="B15" s="107"/>
      <c r="C15" s="107"/>
      <c r="D15" s="106">
        <v>715.0</v>
      </c>
    </row>
    <row r="16">
      <c r="A16" s="70" t="s">
        <v>139</v>
      </c>
      <c r="B16" s="70" t="s">
        <v>140</v>
      </c>
      <c r="C16" s="85" t="s">
        <v>268</v>
      </c>
      <c r="D16" s="70">
        <v>2000.0</v>
      </c>
      <c r="E16" s="14"/>
    </row>
    <row r="17">
      <c r="A17" s="75" t="s">
        <v>79</v>
      </c>
      <c r="B17" s="75" t="s">
        <v>8</v>
      </c>
      <c r="C17" s="85" t="s">
        <v>268</v>
      </c>
      <c r="D17" s="75">
        <v>11000.0</v>
      </c>
      <c r="E17" s="14"/>
    </row>
    <row r="18">
      <c r="A18" s="79" t="s">
        <v>47</v>
      </c>
      <c r="B18" s="75" t="s">
        <v>48</v>
      </c>
      <c r="C18" s="85" t="s">
        <v>268</v>
      </c>
      <c r="D18" s="75">
        <v>1000.0</v>
      </c>
    </row>
    <row r="19">
      <c r="A19" s="14" t="s">
        <v>266</v>
      </c>
      <c r="B19" s="64" t="s">
        <v>200</v>
      </c>
      <c r="C19" s="85" t="s">
        <v>268</v>
      </c>
      <c r="D19" s="14">
        <v>4000.0</v>
      </c>
      <c r="E19" s="14"/>
    </row>
    <row r="20">
      <c r="A20" s="14" t="s">
        <v>60</v>
      </c>
      <c r="B20" s="14" t="s">
        <v>24</v>
      </c>
      <c r="C20" s="85" t="s">
        <v>268</v>
      </c>
      <c r="D20" s="14">
        <v>1357.0</v>
      </c>
    </row>
    <row r="21">
      <c r="A21" s="75" t="s">
        <v>196</v>
      </c>
      <c r="B21" s="75" t="s">
        <v>8</v>
      </c>
      <c r="C21" s="85" t="s">
        <v>268</v>
      </c>
      <c r="D21" s="75">
        <v>500.0</v>
      </c>
    </row>
    <row r="22">
      <c r="A22" s="106" t="s">
        <v>274</v>
      </c>
      <c r="B22" s="107"/>
      <c r="C22" s="107"/>
      <c r="D22" s="106">
        <v>310.0</v>
      </c>
    </row>
    <row r="23">
      <c r="A23" s="106" t="s">
        <v>275</v>
      </c>
      <c r="B23" s="106" t="s">
        <v>52</v>
      </c>
      <c r="C23" s="107"/>
      <c r="D23" s="106">
        <v>500.0</v>
      </c>
    </row>
    <row r="24">
      <c r="A24" s="107"/>
      <c r="B24" s="107"/>
      <c r="C24" s="107"/>
      <c r="D24" s="107"/>
    </row>
    <row r="25">
      <c r="A25" s="107"/>
      <c r="B25" s="107"/>
      <c r="C25" s="107"/>
      <c r="D25" s="107"/>
    </row>
    <row r="26">
      <c r="A26" s="107"/>
      <c r="B26" s="107"/>
      <c r="C26" s="107"/>
      <c r="D26" s="107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42">
      <c r="C42" s="8" t="s">
        <v>37</v>
      </c>
      <c r="D42" s="29">
        <f>SUM(D3:D40)</f>
        <v>61261</v>
      </c>
    </row>
    <row r="46">
      <c r="A46" s="17" t="s">
        <v>38</v>
      </c>
      <c r="B46" s="2"/>
      <c r="C46" s="2"/>
      <c r="D46" s="3"/>
      <c r="E46" s="59"/>
    </row>
    <row r="47">
      <c r="A47" s="6" t="s">
        <v>2</v>
      </c>
      <c r="B47" s="6" t="s">
        <v>3</v>
      </c>
      <c r="C47" s="6"/>
      <c r="D47" s="6" t="s">
        <v>5</v>
      </c>
      <c r="E47" s="6"/>
    </row>
    <row r="48">
      <c r="A48" s="62" t="s">
        <v>104</v>
      </c>
      <c r="B48" s="62" t="s">
        <v>24</v>
      </c>
      <c r="C48" s="85" t="s">
        <v>268</v>
      </c>
      <c r="D48" s="64">
        <v>800.0</v>
      </c>
      <c r="E48" s="14"/>
    </row>
    <row r="49">
      <c r="A49" s="64" t="s">
        <v>221</v>
      </c>
      <c r="B49" s="64" t="s">
        <v>8</v>
      </c>
      <c r="C49" s="85" t="s">
        <v>268</v>
      </c>
      <c r="D49" s="64">
        <v>1265.0</v>
      </c>
      <c r="E49" s="14"/>
    </row>
    <row r="50">
      <c r="A50" s="14" t="s">
        <v>60</v>
      </c>
      <c r="B50" s="14" t="s">
        <v>24</v>
      </c>
      <c r="C50" s="85" t="s">
        <v>268</v>
      </c>
      <c r="D50" s="14">
        <f>(1179)</f>
        <v>1179</v>
      </c>
    </row>
    <row r="54">
      <c r="H54" s="14"/>
    </row>
    <row r="57">
      <c r="A57" s="14" t="s">
        <v>276</v>
      </c>
      <c r="B57" s="14" t="s">
        <v>8</v>
      </c>
      <c r="C57" s="85" t="s">
        <v>268</v>
      </c>
      <c r="D57" s="14">
        <v>5555.0</v>
      </c>
    </row>
    <row r="58">
      <c r="E58" s="8">
        <f>SUM(D48:D57) - (D8 + D7)</f>
        <v>3380</v>
      </c>
    </row>
    <row r="59">
      <c r="A59" s="77" t="s">
        <v>183</v>
      </c>
      <c r="B59" s="77" t="s">
        <v>52</v>
      </c>
      <c r="C59" s="85" t="s">
        <v>268</v>
      </c>
      <c r="D59" s="78">
        <f>(10000 - (D5))</f>
        <v>8000</v>
      </c>
      <c r="E59" s="8">
        <f>D59</f>
        <v>8000</v>
      </c>
    </row>
    <row r="61">
      <c r="E61" s="88"/>
    </row>
    <row r="62">
      <c r="E62" s="8">
        <f>SUM(D21)</f>
        <v>500</v>
      </c>
    </row>
    <row r="66">
      <c r="E66" s="14"/>
    </row>
    <row r="75">
      <c r="C75" s="8" t="s">
        <v>39</v>
      </c>
      <c r="D75" s="19">
        <f>SUM(D48:D72)</f>
        <v>16799</v>
      </c>
    </row>
    <row r="88">
      <c r="A88" s="14" t="s">
        <v>131</v>
      </c>
      <c r="B88" s="14" t="s">
        <v>38</v>
      </c>
      <c r="D88" s="14">
        <v>30000.0</v>
      </c>
    </row>
  </sheetData>
  <mergeCells count="2">
    <mergeCell ref="A1:D1"/>
    <mergeCell ref="A46:D4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1130.0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94405+1178</f>
        <v>95583</v>
      </c>
    </row>
    <row r="3">
      <c r="A3" s="64" t="s">
        <v>199</v>
      </c>
      <c r="B3" s="64" t="s">
        <v>200</v>
      </c>
      <c r="C3" s="85" t="s">
        <v>268</v>
      </c>
      <c r="D3" s="67">
        <v>6472.0</v>
      </c>
      <c r="E3" s="38"/>
      <c r="G3" s="65"/>
      <c r="H3" s="66" t="s">
        <v>269</v>
      </c>
    </row>
    <row r="4">
      <c r="A4" s="14" t="s">
        <v>197</v>
      </c>
      <c r="C4" s="85" t="s">
        <v>268</v>
      </c>
      <c r="D4" s="14">
        <f>100+100+100</f>
        <v>300</v>
      </c>
      <c r="E4" s="14"/>
      <c r="G4" s="68"/>
      <c r="H4" s="66" t="s">
        <v>206</v>
      </c>
      <c r="K4" s="4" t="s">
        <v>13</v>
      </c>
      <c r="L4" s="23">
        <f>L1 + L2</f>
        <v>96713</v>
      </c>
    </row>
    <row r="5">
      <c r="A5" s="77" t="s">
        <v>183</v>
      </c>
      <c r="B5" s="77" t="s">
        <v>52</v>
      </c>
      <c r="C5" s="85" t="s">
        <v>268</v>
      </c>
      <c r="D5" s="78">
        <v>2000.0</v>
      </c>
      <c r="E5" s="14"/>
      <c r="G5" s="69"/>
      <c r="H5" s="66" t="s">
        <v>7</v>
      </c>
      <c r="K5" s="39" t="s">
        <v>114</v>
      </c>
      <c r="L5" s="13">
        <f>L4 - (D42)</f>
        <v>35452</v>
      </c>
    </row>
    <row r="6">
      <c r="A6" s="64" t="s">
        <v>201</v>
      </c>
      <c r="B6" s="64" t="s">
        <v>200</v>
      </c>
      <c r="C6" s="85" t="s">
        <v>268</v>
      </c>
      <c r="D6" s="67">
        <v>3657.0</v>
      </c>
      <c r="E6" s="14"/>
      <c r="G6" s="71"/>
      <c r="H6" s="66" t="s">
        <v>183</v>
      </c>
      <c r="K6" s="39" t="s">
        <v>117</v>
      </c>
      <c r="L6" s="34">
        <f>L5 - D75 + (SUMIFS(D7:D59, B7:B59, "=TEMP"))</f>
        <v>24072</v>
      </c>
    </row>
    <row r="7">
      <c r="A7" s="103" t="s">
        <v>270</v>
      </c>
      <c r="B7" s="103" t="s">
        <v>92</v>
      </c>
      <c r="C7" s="103" t="s">
        <v>268</v>
      </c>
      <c r="D7" s="103">
        <v>2500.0</v>
      </c>
      <c r="E7" s="14"/>
      <c r="G7" s="92"/>
      <c r="H7" s="66" t="s">
        <v>205</v>
      </c>
    </row>
    <row r="8">
      <c r="A8" s="103" t="s">
        <v>264</v>
      </c>
      <c r="B8" s="103" t="s">
        <v>92</v>
      </c>
      <c r="C8" s="104" t="s">
        <v>268</v>
      </c>
      <c r="D8" s="105">
        <v>2919.0</v>
      </c>
      <c r="E8" s="14"/>
      <c r="F8" s="45"/>
    </row>
    <row r="9">
      <c r="A9" s="70" t="s">
        <v>10</v>
      </c>
      <c r="B9" s="70" t="s">
        <v>140</v>
      </c>
      <c r="C9" s="85" t="s">
        <v>268</v>
      </c>
      <c r="D9" s="70">
        <v>3000.0</v>
      </c>
      <c r="E9" s="14"/>
      <c r="F9" s="45"/>
    </row>
    <row r="10">
      <c r="A10" s="64" t="s">
        <v>146</v>
      </c>
      <c r="B10" s="64" t="s">
        <v>24</v>
      </c>
      <c r="C10" s="85" t="s">
        <v>268</v>
      </c>
      <c r="D10" s="64">
        <v>5572.0</v>
      </c>
      <c r="E10" s="14"/>
    </row>
    <row r="11">
      <c r="A11" s="64" t="s">
        <v>193</v>
      </c>
      <c r="B11" s="64" t="s">
        <v>8</v>
      </c>
      <c r="C11" s="85" t="s">
        <v>268</v>
      </c>
      <c r="D11" s="64">
        <v>1960.0</v>
      </c>
      <c r="E11" s="14"/>
    </row>
    <row r="12">
      <c r="A12" s="64" t="s">
        <v>115</v>
      </c>
      <c r="B12" s="64" t="s">
        <v>116</v>
      </c>
      <c r="C12" s="85" t="s">
        <v>268</v>
      </c>
      <c r="D12" s="64">
        <v>8500.0</v>
      </c>
      <c r="E12" s="14"/>
      <c r="F12" s="45"/>
    </row>
    <row r="13">
      <c r="A13" s="106" t="s">
        <v>271</v>
      </c>
      <c r="B13" s="107"/>
      <c r="C13" s="108"/>
      <c r="D13" s="106">
        <v>2844.0</v>
      </c>
      <c r="E13" s="14"/>
      <c r="F13" s="45"/>
    </row>
    <row r="14">
      <c r="A14" s="106" t="s">
        <v>272</v>
      </c>
      <c r="B14" s="107"/>
      <c r="C14" s="107"/>
      <c r="D14" s="106">
        <v>155.0</v>
      </c>
      <c r="L14" s="80"/>
    </row>
    <row r="15">
      <c r="A15" s="106" t="s">
        <v>273</v>
      </c>
      <c r="B15" s="107"/>
      <c r="C15" s="107"/>
      <c r="D15" s="106">
        <v>715.0</v>
      </c>
    </row>
    <row r="16">
      <c r="A16" s="70" t="s">
        <v>139</v>
      </c>
      <c r="B16" s="70" t="s">
        <v>140</v>
      </c>
      <c r="C16" s="85" t="s">
        <v>268</v>
      </c>
      <c r="D16" s="70">
        <v>2000.0</v>
      </c>
      <c r="E16" s="14"/>
    </row>
    <row r="17">
      <c r="A17" s="75" t="s">
        <v>79</v>
      </c>
      <c r="B17" s="75" t="s">
        <v>8</v>
      </c>
      <c r="C17" s="85" t="s">
        <v>268</v>
      </c>
      <c r="D17" s="75">
        <v>11000.0</v>
      </c>
      <c r="E17" s="14"/>
    </row>
    <row r="18">
      <c r="A18" s="79" t="s">
        <v>47</v>
      </c>
      <c r="B18" s="75" t="s">
        <v>48</v>
      </c>
      <c r="C18" s="85" t="s">
        <v>268</v>
      </c>
      <c r="D18" s="75">
        <v>1000.0</v>
      </c>
    </row>
    <row r="19">
      <c r="A19" s="14" t="s">
        <v>266</v>
      </c>
      <c r="B19" s="64" t="s">
        <v>200</v>
      </c>
      <c r="C19" s="85" t="s">
        <v>268</v>
      </c>
      <c r="D19" s="14">
        <v>4000.0</v>
      </c>
      <c r="E19" s="14"/>
    </row>
    <row r="20">
      <c r="A20" s="14" t="s">
        <v>60</v>
      </c>
      <c r="B20" s="14" t="s">
        <v>24</v>
      </c>
      <c r="C20" s="85" t="s">
        <v>268</v>
      </c>
      <c r="D20" s="14">
        <v>1357.0</v>
      </c>
    </row>
    <row r="21">
      <c r="A21" s="75" t="s">
        <v>196</v>
      </c>
      <c r="B21" s="75" t="s">
        <v>8</v>
      </c>
      <c r="C21" s="85" t="s">
        <v>268</v>
      </c>
      <c r="D21" s="75">
        <v>500.0</v>
      </c>
    </row>
    <row r="22">
      <c r="A22" s="106" t="s">
        <v>274</v>
      </c>
      <c r="B22" s="107"/>
      <c r="C22" s="107"/>
      <c r="D22" s="106">
        <v>310.0</v>
      </c>
    </row>
    <row r="23">
      <c r="A23" s="106" t="s">
        <v>275</v>
      </c>
      <c r="B23" s="106" t="s">
        <v>52</v>
      </c>
      <c r="C23" s="107"/>
      <c r="D23" s="106">
        <v>500.0</v>
      </c>
    </row>
    <row r="24">
      <c r="A24" s="107"/>
      <c r="B24" s="107"/>
      <c r="C24" s="107"/>
      <c r="D24" s="107"/>
    </row>
    <row r="25">
      <c r="A25" s="107"/>
      <c r="B25" s="107"/>
      <c r="C25" s="107"/>
      <c r="D25" s="107"/>
    </row>
    <row r="26">
      <c r="A26" s="107"/>
      <c r="B26" s="107"/>
      <c r="C26" s="107"/>
      <c r="D26" s="107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42">
      <c r="C42" s="8" t="s">
        <v>37</v>
      </c>
      <c r="D42" s="29">
        <f>SUM(D3:D40)</f>
        <v>61261</v>
      </c>
    </row>
    <row r="46">
      <c r="A46" s="17" t="s">
        <v>38</v>
      </c>
      <c r="B46" s="2"/>
      <c r="C46" s="2"/>
      <c r="D46" s="3"/>
      <c r="E46" s="59"/>
    </row>
    <row r="47">
      <c r="A47" s="6" t="s">
        <v>2</v>
      </c>
      <c r="B47" s="6" t="s">
        <v>3</v>
      </c>
      <c r="C47" s="6"/>
      <c r="D47" s="6" t="s">
        <v>5</v>
      </c>
      <c r="E47" s="6"/>
    </row>
    <row r="48">
      <c r="A48" s="62" t="s">
        <v>104</v>
      </c>
      <c r="B48" s="62" t="s">
        <v>24</v>
      </c>
      <c r="C48" s="85" t="s">
        <v>268</v>
      </c>
      <c r="D48" s="64">
        <v>800.0</v>
      </c>
      <c r="E48" s="14"/>
    </row>
    <row r="49">
      <c r="A49" s="64" t="s">
        <v>221</v>
      </c>
      <c r="B49" s="64" t="s">
        <v>8</v>
      </c>
      <c r="C49" s="85" t="s">
        <v>268</v>
      </c>
      <c r="D49" s="64">
        <v>1265.0</v>
      </c>
      <c r="E49" s="14"/>
    </row>
    <row r="50">
      <c r="A50" s="14" t="s">
        <v>60</v>
      </c>
      <c r="B50" s="14" t="s">
        <v>24</v>
      </c>
      <c r="C50" s="85" t="s">
        <v>268</v>
      </c>
      <c r="D50" s="14">
        <f>(1179)</f>
        <v>1179</v>
      </c>
    </row>
    <row r="54">
      <c r="H54" s="14"/>
    </row>
    <row r="57">
      <c r="A57" s="14" t="s">
        <v>276</v>
      </c>
      <c r="B57" s="14" t="s">
        <v>8</v>
      </c>
      <c r="C57" s="85" t="s">
        <v>268</v>
      </c>
      <c r="D57" s="14">
        <v>5555.0</v>
      </c>
    </row>
    <row r="58">
      <c r="E58" s="8">
        <f>SUM(D48:D57) - (D8 + D7)</f>
        <v>3380</v>
      </c>
    </row>
    <row r="59">
      <c r="A59" s="77" t="s">
        <v>183</v>
      </c>
      <c r="B59" s="77" t="s">
        <v>52</v>
      </c>
      <c r="C59" s="85" t="s">
        <v>268</v>
      </c>
      <c r="D59" s="78">
        <f>(10000 - (D5))</f>
        <v>8000</v>
      </c>
      <c r="E59" s="8">
        <f>D59</f>
        <v>8000</v>
      </c>
    </row>
    <row r="61">
      <c r="E61" s="88"/>
    </row>
    <row r="62">
      <c r="E62" s="8">
        <f>SUM(D21)</f>
        <v>500</v>
      </c>
    </row>
    <row r="66">
      <c r="E66" s="14"/>
    </row>
    <row r="75">
      <c r="C75" s="8" t="s">
        <v>39</v>
      </c>
      <c r="D75" s="19">
        <f>SUM(D48:D72)</f>
        <v>16799</v>
      </c>
    </row>
    <row r="88">
      <c r="A88" s="14" t="s">
        <v>131</v>
      </c>
      <c r="B88" s="14" t="s">
        <v>38</v>
      </c>
      <c r="D88" s="14">
        <v>30000.0</v>
      </c>
    </row>
  </sheetData>
  <mergeCells count="2">
    <mergeCell ref="A1:D1"/>
    <mergeCell ref="A46:D4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1818.0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99865+1357+1357</f>
        <v>102579</v>
      </c>
    </row>
    <row r="3">
      <c r="A3" s="64" t="s">
        <v>199</v>
      </c>
      <c r="B3" s="64" t="s">
        <v>200</v>
      </c>
      <c r="C3" s="90">
        <f t="shared" ref="C3:C14" si="1">DATE(2023, 11, 29)</f>
        <v>45259</v>
      </c>
      <c r="D3" s="67">
        <v>5252.0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90">
        <f t="shared" si="1"/>
        <v>45259</v>
      </c>
      <c r="D4" s="67">
        <v>1836.0</v>
      </c>
      <c r="E4" s="14"/>
      <c r="G4" s="68"/>
      <c r="H4" s="66" t="s">
        <v>206</v>
      </c>
      <c r="K4" s="4" t="s">
        <v>13</v>
      </c>
      <c r="L4" s="23">
        <f>L1 + L2</f>
        <v>104397</v>
      </c>
    </row>
    <row r="5">
      <c r="A5" s="64" t="s">
        <v>193</v>
      </c>
      <c r="B5" s="64" t="s">
        <v>8</v>
      </c>
      <c r="C5" s="90">
        <f t="shared" si="1"/>
        <v>45259</v>
      </c>
      <c r="D5" s="64">
        <v>1960.0</v>
      </c>
      <c r="E5" s="14"/>
      <c r="G5" s="69"/>
      <c r="H5" s="66" t="s">
        <v>7</v>
      </c>
      <c r="K5" s="39" t="s">
        <v>114</v>
      </c>
      <c r="L5" s="13">
        <f>L4 - (D44)</f>
        <v>4568</v>
      </c>
    </row>
    <row r="6">
      <c r="A6" s="64" t="s">
        <v>115</v>
      </c>
      <c r="B6" s="64" t="s">
        <v>116</v>
      </c>
      <c r="C6" s="90">
        <f t="shared" si="1"/>
        <v>45259</v>
      </c>
      <c r="D6" s="64">
        <v>8500.0</v>
      </c>
      <c r="E6" s="14"/>
      <c r="G6" s="71"/>
      <c r="H6" s="66" t="s">
        <v>183</v>
      </c>
      <c r="K6" s="39" t="s">
        <v>117</v>
      </c>
      <c r="L6" s="34">
        <f>L5 - D67 + (SUMIFS(D8:D62, B8:B62, "=TEMP"))</f>
        <v>4178</v>
      </c>
    </row>
    <row r="7">
      <c r="A7" s="75" t="s">
        <v>196</v>
      </c>
      <c r="B7" s="75" t="s">
        <v>8</v>
      </c>
      <c r="C7" s="109">
        <f t="shared" si="1"/>
        <v>45259</v>
      </c>
      <c r="D7" s="75">
        <v>500.0</v>
      </c>
      <c r="E7" s="14"/>
      <c r="G7" s="92"/>
      <c r="H7" s="66" t="s">
        <v>205</v>
      </c>
    </row>
    <row r="8">
      <c r="A8" s="64" t="s">
        <v>146</v>
      </c>
      <c r="B8" s="64" t="s">
        <v>24</v>
      </c>
      <c r="C8" s="90">
        <f t="shared" si="1"/>
        <v>45259</v>
      </c>
      <c r="D8" s="64">
        <v>3276.0</v>
      </c>
      <c r="E8" s="14"/>
      <c r="F8" s="45"/>
      <c r="G8" s="110"/>
      <c r="H8" s="66" t="s">
        <v>277</v>
      </c>
    </row>
    <row r="9">
      <c r="A9" s="111" t="s">
        <v>264</v>
      </c>
      <c r="B9" s="111" t="s">
        <v>48</v>
      </c>
      <c r="C9" s="112">
        <f t="shared" si="1"/>
        <v>45259</v>
      </c>
      <c r="D9" s="113">
        <v>2899.0</v>
      </c>
      <c r="E9" s="14"/>
      <c r="F9" s="45"/>
      <c r="K9" s="14" t="s">
        <v>51</v>
      </c>
      <c r="L9" s="14">
        <f>(1400+500)</f>
        <v>1900</v>
      </c>
    </row>
    <row r="10">
      <c r="A10" s="111" t="s">
        <v>270</v>
      </c>
      <c r="B10" s="111" t="s">
        <v>48</v>
      </c>
      <c r="C10" s="114">
        <f t="shared" si="1"/>
        <v>45259</v>
      </c>
      <c r="D10" s="111">
        <v>2500.0</v>
      </c>
      <c r="E10" s="14"/>
    </row>
    <row r="11">
      <c r="A11" s="70" t="s">
        <v>10</v>
      </c>
      <c r="B11" s="70" t="s">
        <v>140</v>
      </c>
      <c r="C11" s="63">
        <f t="shared" si="1"/>
        <v>45259</v>
      </c>
      <c r="D11" s="70">
        <v>3000.0</v>
      </c>
      <c r="E11" s="14"/>
    </row>
    <row r="12">
      <c r="A12" s="115" t="s">
        <v>278</v>
      </c>
      <c r="B12" s="115" t="s">
        <v>48</v>
      </c>
      <c r="C12" s="116">
        <f t="shared" si="1"/>
        <v>45259</v>
      </c>
      <c r="D12" s="115">
        <v>25000.0</v>
      </c>
      <c r="E12" s="14"/>
      <c r="F12" s="45"/>
    </row>
    <row r="13">
      <c r="A13" s="70" t="s">
        <v>139</v>
      </c>
      <c r="B13" s="70" t="s">
        <v>140</v>
      </c>
      <c r="C13" s="63">
        <f t="shared" si="1"/>
        <v>45259</v>
      </c>
      <c r="D13" s="70">
        <v>2000.0</v>
      </c>
      <c r="E13" s="14"/>
      <c r="F13" s="45"/>
    </row>
    <row r="14">
      <c r="A14" s="94" t="s">
        <v>97</v>
      </c>
      <c r="B14" s="94" t="s">
        <v>24</v>
      </c>
      <c r="C14" s="117">
        <f t="shared" si="1"/>
        <v>45259</v>
      </c>
      <c r="D14" s="94">
        <v>155.0</v>
      </c>
      <c r="L14" s="118"/>
    </row>
    <row r="15">
      <c r="A15" s="79" t="s">
        <v>47</v>
      </c>
      <c r="B15" s="75" t="s">
        <v>48</v>
      </c>
      <c r="C15" s="119">
        <f t="shared" ref="C15:C20" si="2">DATE(2023, 11, 30)</f>
        <v>45260</v>
      </c>
      <c r="D15" s="75">
        <v>4000.0</v>
      </c>
    </row>
    <row r="16">
      <c r="A16" s="75" t="s">
        <v>7</v>
      </c>
      <c r="B16" s="75" t="s">
        <v>7</v>
      </c>
      <c r="C16" s="95">
        <f t="shared" si="2"/>
        <v>45260</v>
      </c>
      <c r="D16" s="75">
        <v>1000.0</v>
      </c>
      <c r="E16" s="14"/>
    </row>
    <row r="17">
      <c r="A17" s="111" t="s">
        <v>145</v>
      </c>
      <c r="B17" s="111" t="s">
        <v>48</v>
      </c>
      <c r="C17" s="114">
        <f t="shared" si="2"/>
        <v>45260</v>
      </c>
      <c r="D17" s="111">
        <v>6000.0</v>
      </c>
      <c r="E17" s="14"/>
    </row>
    <row r="18">
      <c r="A18" s="111" t="s">
        <v>51</v>
      </c>
      <c r="B18" s="111" t="s">
        <v>48</v>
      </c>
      <c r="C18" s="120">
        <f t="shared" si="2"/>
        <v>45260</v>
      </c>
      <c r="D18" s="111">
        <v>5000.0</v>
      </c>
      <c r="H18" s="14">
        <v>9169.0</v>
      </c>
    </row>
    <row r="19">
      <c r="A19" s="111" t="s">
        <v>279</v>
      </c>
      <c r="B19" s="111" t="s">
        <v>48</v>
      </c>
      <c r="C19" s="121">
        <f t="shared" si="2"/>
        <v>45260</v>
      </c>
      <c r="D19" s="111">
        <v>2500.0</v>
      </c>
      <c r="E19" s="14"/>
    </row>
    <row r="20">
      <c r="A20" s="111" t="s">
        <v>280</v>
      </c>
      <c r="B20" s="111" t="s">
        <v>48</v>
      </c>
      <c r="C20" s="121">
        <f t="shared" si="2"/>
        <v>45260</v>
      </c>
      <c r="D20" s="111">
        <v>2850.0</v>
      </c>
    </row>
    <row r="21">
      <c r="A21" s="111" t="s">
        <v>281</v>
      </c>
      <c r="B21" s="111" t="s">
        <v>48</v>
      </c>
      <c r="C21" s="121">
        <f>DATE(2023, 12, 3)</f>
        <v>45263</v>
      </c>
      <c r="D21" s="111">
        <f>335+400+150</f>
        <v>885</v>
      </c>
    </row>
    <row r="22">
      <c r="A22" s="122" t="s">
        <v>60</v>
      </c>
      <c r="B22" s="122" t="s">
        <v>24</v>
      </c>
      <c r="C22" s="123">
        <f>DATE(2023, 12, 5)</f>
        <v>45265</v>
      </c>
      <c r="D22" s="122">
        <f>(1357)</f>
        <v>1357</v>
      </c>
    </row>
    <row r="23">
      <c r="A23" s="124" t="s">
        <v>282</v>
      </c>
      <c r="B23" s="124" t="s">
        <v>48</v>
      </c>
      <c r="C23" s="123">
        <f t="shared" ref="C23:C24" si="3">DATE(2023, 12, 7)</f>
        <v>45267</v>
      </c>
      <c r="D23" s="124">
        <f>(514+463) - 489</f>
        <v>488</v>
      </c>
    </row>
    <row r="24">
      <c r="A24" s="94" t="s">
        <v>96</v>
      </c>
      <c r="B24" s="94" t="s">
        <v>24</v>
      </c>
      <c r="C24" s="117">
        <f t="shared" si="3"/>
        <v>45267</v>
      </c>
      <c r="D24" s="94">
        <v>395.0</v>
      </c>
    </row>
    <row r="25">
      <c r="A25" s="14" t="s">
        <v>283</v>
      </c>
      <c r="B25" s="14" t="s">
        <v>48</v>
      </c>
      <c r="D25" s="14">
        <v>2000.0</v>
      </c>
    </row>
    <row r="26">
      <c r="A26" s="106" t="s">
        <v>51</v>
      </c>
      <c r="B26" s="106" t="s">
        <v>48</v>
      </c>
      <c r="C26" s="107"/>
      <c r="D26" s="106">
        <v>3000.0</v>
      </c>
    </row>
    <row r="27">
      <c r="A27" s="111" t="s">
        <v>145</v>
      </c>
      <c r="B27" s="111" t="s">
        <v>48</v>
      </c>
      <c r="C27" s="111" t="s">
        <v>268</v>
      </c>
      <c r="D27" s="111">
        <v>1500.0</v>
      </c>
      <c r="E27" s="84"/>
    </row>
    <row r="28">
      <c r="A28" s="106" t="s">
        <v>284</v>
      </c>
      <c r="B28" s="106" t="s">
        <v>94</v>
      </c>
      <c r="C28" s="125">
        <f>DATE(2023, 12, 15)</f>
        <v>45275</v>
      </c>
      <c r="D28" s="106">
        <v>1000.0</v>
      </c>
      <c r="K28" s="32"/>
      <c r="M28" s="50"/>
    </row>
    <row r="29">
      <c r="A29" s="106" t="s">
        <v>285</v>
      </c>
      <c r="B29" s="106" t="s">
        <v>48</v>
      </c>
      <c r="C29" s="125">
        <f>DATE(2023, 12, 10)</f>
        <v>45270</v>
      </c>
      <c r="D29" s="106">
        <f>(230+332)</f>
        <v>562</v>
      </c>
      <c r="K29" s="44"/>
    </row>
    <row r="30">
      <c r="A30" s="106" t="s">
        <v>95</v>
      </c>
      <c r="B30" s="107"/>
      <c r="C30" s="107"/>
      <c r="D30" s="107">
        <f>(200 + 350+450+50+120+52+112)-914</f>
        <v>420</v>
      </c>
    </row>
    <row r="31">
      <c r="A31" s="14" t="s">
        <v>286</v>
      </c>
      <c r="B31" s="14" t="s">
        <v>48</v>
      </c>
      <c r="C31" s="126"/>
      <c r="D31" s="14">
        <v>1300.0</v>
      </c>
    </row>
    <row r="32">
      <c r="A32" s="14" t="s">
        <v>287</v>
      </c>
      <c r="C32" s="126"/>
      <c r="D32" s="14">
        <v>2700.0</v>
      </c>
    </row>
    <row r="33">
      <c r="A33" s="14" t="s">
        <v>288</v>
      </c>
      <c r="B33" s="14" t="s">
        <v>94</v>
      </c>
      <c r="C33" s="117">
        <f t="shared" ref="C33:C34" si="4">DATE(2023, 12, 23)</f>
        <v>45283</v>
      </c>
      <c r="D33" s="14">
        <v>4000.0</v>
      </c>
    </row>
    <row r="34">
      <c r="A34" s="14" t="s">
        <v>289</v>
      </c>
      <c r="B34" s="14" t="s">
        <v>52</v>
      </c>
      <c r="C34" s="117">
        <f t="shared" si="4"/>
        <v>45283</v>
      </c>
      <c r="D34" s="14">
        <v>190.0</v>
      </c>
    </row>
    <row r="35">
      <c r="A35" s="94" t="s">
        <v>97</v>
      </c>
      <c r="B35" s="94" t="s">
        <v>24</v>
      </c>
      <c r="C35" s="117">
        <f>DATE(2023, 12, 7)</f>
        <v>45267</v>
      </c>
      <c r="D35" s="94">
        <v>155.0</v>
      </c>
    </row>
    <row r="36">
      <c r="A36" s="14" t="s">
        <v>290</v>
      </c>
      <c r="B36" s="14" t="s">
        <v>48</v>
      </c>
      <c r="C36" s="117">
        <f>DATE(2023, 12, 22)</f>
        <v>45282</v>
      </c>
      <c r="D36" s="14">
        <v>330.0</v>
      </c>
    </row>
    <row r="37">
      <c r="A37" s="14" t="s">
        <v>291</v>
      </c>
      <c r="B37" s="14" t="s">
        <v>48</v>
      </c>
      <c r="C37" s="117">
        <f>DATE(2023, 12, 25)</f>
        <v>45285</v>
      </c>
      <c r="D37" s="14">
        <v>140.0</v>
      </c>
    </row>
    <row r="38">
      <c r="A38" s="122" t="s">
        <v>60</v>
      </c>
      <c r="B38" s="122" t="s">
        <v>24</v>
      </c>
      <c r="C38" s="117">
        <f>DATE(2023, 12, 26)</f>
        <v>45286</v>
      </c>
      <c r="D38" s="122">
        <f>(1179)</f>
        <v>1179</v>
      </c>
    </row>
    <row r="44">
      <c r="C44" s="8" t="s">
        <v>37</v>
      </c>
      <c r="D44" s="29">
        <f>SUM(D3:D40)</f>
        <v>99829</v>
      </c>
    </row>
    <row r="50">
      <c r="A50" s="17" t="s">
        <v>38</v>
      </c>
      <c r="B50" s="2"/>
      <c r="C50" s="2"/>
      <c r="D50" s="3"/>
      <c r="E50" s="59"/>
    </row>
    <row r="51">
      <c r="A51" s="6" t="s">
        <v>2</v>
      </c>
      <c r="B51" s="6" t="s">
        <v>3</v>
      </c>
      <c r="C51" s="6"/>
      <c r="D51" s="6" t="s">
        <v>5</v>
      </c>
      <c r="E51" s="6"/>
    </row>
    <row r="52">
      <c r="A52" s="62" t="s">
        <v>104</v>
      </c>
      <c r="B52" s="62" t="s">
        <v>24</v>
      </c>
      <c r="C52" s="85" t="s">
        <v>268</v>
      </c>
      <c r="D52" s="64">
        <f>(700 - (D14 + D35))</f>
        <v>390</v>
      </c>
      <c r="E52" s="14"/>
    </row>
    <row r="53">
      <c r="A53" s="64"/>
      <c r="B53" s="64"/>
      <c r="C53" s="85"/>
      <c r="D53" s="64"/>
      <c r="E53" s="14"/>
    </row>
    <row r="54">
      <c r="H54" s="14"/>
    </row>
    <row r="64">
      <c r="C64" s="127"/>
    </row>
    <row r="65">
      <c r="E65" s="88"/>
    </row>
    <row r="67">
      <c r="C67" s="8" t="s">
        <v>39</v>
      </c>
      <c r="D67" s="19">
        <f>SUM(D52:D65)</f>
        <v>390</v>
      </c>
    </row>
    <row r="70">
      <c r="A70" s="14" t="s">
        <v>131</v>
      </c>
      <c r="B70" s="14" t="s">
        <v>38</v>
      </c>
      <c r="D70" s="14">
        <v>30000.0</v>
      </c>
      <c r="E70" s="14"/>
    </row>
    <row r="73">
      <c r="E73" s="8">
        <f>SUM(D70:D72)</f>
        <v>30000</v>
      </c>
    </row>
  </sheetData>
  <mergeCells count="2">
    <mergeCell ref="A1:D1"/>
    <mergeCell ref="A50:D5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'DEC23'!L5</f>
        <v>4568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79971.0</v>
      </c>
    </row>
    <row r="3">
      <c r="A3" s="64" t="s">
        <v>199</v>
      </c>
      <c r="B3" s="64" t="s">
        <v>200</v>
      </c>
      <c r="C3" s="85" t="s">
        <v>268</v>
      </c>
      <c r="D3" s="67">
        <v>8663.0</v>
      </c>
      <c r="E3" s="38"/>
      <c r="G3" s="65"/>
      <c r="H3" s="66" t="s">
        <v>269</v>
      </c>
    </row>
    <row r="4">
      <c r="A4" s="64" t="s">
        <v>146</v>
      </c>
      <c r="B4" s="64" t="s">
        <v>24</v>
      </c>
      <c r="C4" s="85" t="s">
        <v>268</v>
      </c>
      <c r="D4" s="64">
        <v>3276.0</v>
      </c>
      <c r="E4" s="14"/>
      <c r="G4" s="68"/>
      <c r="H4" s="66" t="s">
        <v>206</v>
      </c>
      <c r="K4" s="4" t="s">
        <v>13</v>
      </c>
      <c r="L4" s="23">
        <f>L1 + L2</f>
        <v>84539</v>
      </c>
    </row>
    <row r="5">
      <c r="A5" s="111" t="s">
        <v>270</v>
      </c>
      <c r="B5" s="111" t="s">
        <v>48</v>
      </c>
      <c r="C5" s="85" t="s">
        <v>268</v>
      </c>
      <c r="D5" s="111">
        <v>2500.0</v>
      </c>
      <c r="E5" s="14"/>
      <c r="G5" s="69"/>
      <c r="H5" s="66" t="s">
        <v>7</v>
      </c>
      <c r="K5" s="39" t="s">
        <v>114</v>
      </c>
      <c r="L5" s="13">
        <f>L4 - (D32)</f>
        <v>4200</v>
      </c>
    </row>
    <row r="6">
      <c r="A6" s="70" t="s">
        <v>10</v>
      </c>
      <c r="B6" s="70" t="s">
        <v>140</v>
      </c>
      <c r="C6" s="85" t="s">
        <v>268</v>
      </c>
      <c r="D6" s="70">
        <v>3000.0</v>
      </c>
      <c r="E6" s="14"/>
      <c r="G6" s="71"/>
      <c r="H6" s="66" t="s">
        <v>183</v>
      </c>
      <c r="K6" s="39" t="s">
        <v>117</v>
      </c>
      <c r="L6" s="34">
        <f>L5 - D68 + (SUMIFS(D14:D40, B14:B40, "=TEMP"))</f>
        <v>-2577</v>
      </c>
    </row>
    <row r="7">
      <c r="A7" s="64" t="s">
        <v>292</v>
      </c>
      <c r="B7" s="62" t="s">
        <v>24</v>
      </c>
      <c r="C7" s="85" t="s">
        <v>268</v>
      </c>
      <c r="D7" s="64">
        <v>155.0</v>
      </c>
      <c r="E7" s="14"/>
      <c r="G7" s="92"/>
      <c r="H7" s="66" t="s">
        <v>205</v>
      </c>
    </row>
    <row r="8">
      <c r="A8" s="14" t="s">
        <v>293</v>
      </c>
      <c r="B8" s="14" t="s">
        <v>48</v>
      </c>
      <c r="C8" s="85" t="s">
        <v>268</v>
      </c>
      <c r="D8" s="14">
        <v>175.0</v>
      </c>
      <c r="E8" s="14"/>
      <c r="F8" s="45"/>
      <c r="G8" s="128"/>
      <c r="H8" s="66" t="s">
        <v>277</v>
      </c>
    </row>
    <row r="9">
      <c r="A9" s="14" t="s">
        <v>95</v>
      </c>
      <c r="B9" s="14" t="s">
        <v>52</v>
      </c>
      <c r="C9" s="85" t="s">
        <v>268</v>
      </c>
      <c r="D9" s="14">
        <f>(98 + 190 + 90 + 100 + 270)</f>
        <v>748</v>
      </c>
      <c r="E9" s="14"/>
      <c r="F9" s="45"/>
      <c r="K9" s="14" t="s">
        <v>51</v>
      </c>
      <c r="L9" s="14">
        <v>2500.0</v>
      </c>
    </row>
    <row r="10">
      <c r="A10" s="14" t="s">
        <v>294</v>
      </c>
      <c r="B10" s="14" t="s">
        <v>48</v>
      </c>
      <c r="C10" s="85" t="s">
        <v>268</v>
      </c>
      <c r="D10" s="14">
        <v>250.0</v>
      </c>
      <c r="E10" s="14"/>
    </row>
    <row r="11">
      <c r="A11" s="14" t="s">
        <v>295</v>
      </c>
      <c r="B11" s="14" t="s">
        <v>52</v>
      </c>
      <c r="C11" s="85" t="s">
        <v>268</v>
      </c>
      <c r="D11" s="14">
        <v>240.0</v>
      </c>
      <c r="E11" s="14"/>
    </row>
    <row r="12">
      <c r="A12" s="64" t="s">
        <v>201</v>
      </c>
      <c r="B12" s="64" t="s">
        <v>200</v>
      </c>
      <c r="C12" s="85" t="s">
        <v>268</v>
      </c>
      <c r="D12" s="67">
        <v>7740.0</v>
      </c>
      <c r="E12" s="14"/>
      <c r="F12" s="45"/>
    </row>
    <row r="13">
      <c r="A13" s="14" t="s">
        <v>296</v>
      </c>
      <c r="B13" s="14" t="s">
        <v>297</v>
      </c>
      <c r="C13" s="14" t="s">
        <v>268</v>
      </c>
      <c r="D13" s="14">
        <v>-11.0</v>
      </c>
      <c r="E13" s="14"/>
      <c r="F13" s="45"/>
    </row>
    <row r="14">
      <c r="A14" s="70" t="s">
        <v>139</v>
      </c>
      <c r="B14" s="70" t="s">
        <v>140</v>
      </c>
      <c r="C14" s="85" t="s">
        <v>268</v>
      </c>
      <c r="D14" s="70">
        <v>2000.0</v>
      </c>
      <c r="L14" s="118"/>
    </row>
    <row r="15">
      <c r="A15" s="64" t="s">
        <v>115</v>
      </c>
      <c r="B15" s="64" t="s">
        <v>116</v>
      </c>
      <c r="C15" s="85" t="s">
        <v>268</v>
      </c>
      <c r="D15" s="64">
        <v>8500.0</v>
      </c>
    </row>
    <row r="16">
      <c r="A16" s="75" t="s">
        <v>196</v>
      </c>
      <c r="B16" s="75" t="s">
        <v>8</v>
      </c>
      <c r="C16" s="85" t="s">
        <v>268</v>
      </c>
      <c r="D16" s="75">
        <v>500.0</v>
      </c>
      <c r="E16" s="14"/>
    </row>
    <row r="17">
      <c r="A17" s="111" t="s">
        <v>264</v>
      </c>
      <c r="B17" s="111" t="s">
        <v>48</v>
      </c>
      <c r="C17" s="85" t="s">
        <v>268</v>
      </c>
      <c r="D17" s="113">
        <v>2892.0</v>
      </c>
      <c r="E17" s="14"/>
    </row>
    <row r="18">
      <c r="A18" s="79" t="s">
        <v>47</v>
      </c>
      <c r="B18" s="75" t="s">
        <v>48</v>
      </c>
      <c r="C18" s="129" t="s">
        <v>51</v>
      </c>
      <c r="D18" s="75">
        <v>4000.0</v>
      </c>
    </row>
    <row r="19">
      <c r="A19" s="64" t="s">
        <v>298</v>
      </c>
      <c r="B19" s="62" t="s">
        <v>24</v>
      </c>
      <c r="C19" s="85" t="s">
        <v>268</v>
      </c>
      <c r="D19" s="64">
        <v>155.0</v>
      </c>
      <c r="E19" s="14"/>
    </row>
    <row r="20">
      <c r="A20" s="130" t="s">
        <v>299</v>
      </c>
      <c r="B20" s="130" t="s">
        <v>200</v>
      </c>
      <c r="C20" s="131" t="s">
        <v>268</v>
      </c>
      <c r="D20" s="132">
        <v>7740.0</v>
      </c>
    </row>
    <row r="21">
      <c r="A21" s="122" t="s">
        <v>60</v>
      </c>
      <c r="B21" s="122" t="s">
        <v>24</v>
      </c>
      <c r="C21" s="124" t="s">
        <v>268</v>
      </c>
      <c r="D21" s="122">
        <f>(1357)</f>
        <v>1357</v>
      </c>
    </row>
    <row r="22">
      <c r="A22" s="64" t="s">
        <v>300</v>
      </c>
      <c r="B22" s="62" t="s">
        <v>24</v>
      </c>
      <c r="C22" s="85" t="s">
        <v>268</v>
      </c>
      <c r="D22" s="64">
        <v>155.0</v>
      </c>
    </row>
    <row r="23">
      <c r="A23" s="106" t="s">
        <v>301</v>
      </c>
      <c r="B23" s="106" t="s">
        <v>48</v>
      </c>
      <c r="C23" s="106" t="s">
        <v>268</v>
      </c>
      <c r="D23" s="106">
        <v>1330.0</v>
      </c>
    </row>
    <row r="24">
      <c r="A24" s="106" t="s">
        <v>302</v>
      </c>
      <c r="B24" s="106" t="s">
        <v>52</v>
      </c>
      <c r="C24" s="106" t="s">
        <v>51</v>
      </c>
      <c r="D24" s="106">
        <v>3300.0</v>
      </c>
    </row>
    <row r="25">
      <c r="A25" s="106" t="s">
        <v>303</v>
      </c>
      <c r="B25" s="106" t="s">
        <v>52</v>
      </c>
      <c r="C25" s="106" t="s">
        <v>268</v>
      </c>
      <c r="D25" s="106">
        <v>77.0</v>
      </c>
    </row>
    <row r="26">
      <c r="A26" s="64" t="s">
        <v>298</v>
      </c>
      <c r="B26" s="62" t="s">
        <v>24</v>
      </c>
      <c r="C26" s="85" t="s">
        <v>268</v>
      </c>
      <c r="D26" s="64">
        <v>155.0</v>
      </c>
    </row>
    <row r="27">
      <c r="A27" s="14" t="s">
        <v>304</v>
      </c>
      <c r="B27" s="14" t="s">
        <v>48</v>
      </c>
      <c r="C27" s="14" t="s">
        <v>268</v>
      </c>
      <c r="D27" s="14">
        <v>5800.0</v>
      </c>
      <c r="E27" s="84"/>
    </row>
    <row r="28">
      <c r="A28" s="14" t="s">
        <v>305</v>
      </c>
      <c r="B28" s="14" t="s">
        <v>48</v>
      </c>
      <c r="C28" s="85" t="s">
        <v>268</v>
      </c>
      <c r="D28" s="14">
        <v>10000.0</v>
      </c>
      <c r="K28" s="32"/>
      <c r="M28" s="50"/>
    </row>
    <row r="29">
      <c r="A29" s="106" t="s">
        <v>306</v>
      </c>
      <c r="B29" s="106"/>
      <c r="C29" s="108"/>
      <c r="D29" s="106">
        <f>(4285 + 1357)</f>
        <v>5642</v>
      </c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80339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775 - (D7 + D19 + D22 + D26)</f>
        <v>155</v>
      </c>
      <c r="E37" s="14"/>
    </row>
    <row r="38">
      <c r="E38" s="14"/>
    </row>
    <row r="39">
      <c r="A39" s="14" t="s">
        <v>307</v>
      </c>
      <c r="B39" s="14" t="s">
        <v>52</v>
      </c>
      <c r="C39" s="14" t="s">
        <v>268</v>
      </c>
      <c r="D39" s="14">
        <f>4000-(D9 + D24)</f>
        <v>-48</v>
      </c>
    </row>
    <row r="40">
      <c r="A40" s="14" t="s">
        <v>308</v>
      </c>
      <c r="B40" s="14" t="s">
        <v>48</v>
      </c>
      <c r="C40" s="14" t="s">
        <v>51</v>
      </c>
      <c r="D40" s="14">
        <f>(8000 - D23)</f>
        <v>6670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SUM(D37:D60)</f>
        <v>6777</v>
      </c>
    </row>
    <row r="71">
      <c r="A71" s="14" t="s">
        <v>131</v>
      </c>
      <c r="B71" s="14" t="s">
        <v>38</v>
      </c>
      <c r="D71" s="14">
        <v>30000.0</v>
      </c>
    </row>
    <row r="72">
      <c r="A72" s="14" t="s">
        <v>278</v>
      </c>
      <c r="B72" s="14" t="s">
        <v>38</v>
      </c>
      <c r="D72" s="14">
        <f>(85000+9500)-('DEC23'!D12)</f>
        <v>69500</v>
      </c>
    </row>
    <row r="73">
      <c r="A73" s="14" t="s">
        <v>305</v>
      </c>
      <c r="B73" s="14" t="s">
        <v>38</v>
      </c>
      <c r="D73" s="14">
        <v>50000.0</v>
      </c>
    </row>
  </sheetData>
  <mergeCells count="2">
    <mergeCell ref="A1:D1"/>
    <mergeCell ref="A35:D3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'JAN-24'!L5</f>
        <v>4200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(92199+1357)</f>
        <v>93556</v>
      </c>
    </row>
    <row r="3">
      <c r="A3" s="64" t="s">
        <v>199</v>
      </c>
      <c r="B3" s="64" t="s">
        <v>200</v>
      </c>
      <c r="C3" s="85" t="s">
        <v>268</v>
      </c>
      <c r="D3" s="67">
        <v>8303.0</v>
      </c>
      <c r="E3" s="38"/>
      <c r="G3" s="65"/>
      <c r="H3" s="66" t="s">
        <v>269</v>
      </c>
    </row>
    <row r="4">
      <c r="A4" s="14" t="s">
        <v>309</v>
      </c>
      <c r="B4" s="14" t="s">
        <v>52</v>
      </c>
      <c r="C4" s="14" t="s">
        <v>268</v>
      </c>
      <c r="D4" s="14">
        <v>200.0</v>
      </c>
      <c r="E4" s="14"/>
      <c r="G4" s="68"/>
      <c r="H4" s="66" t="s">
        <v>206</v>
      </c>
      <c r="K4" s="4" t="s">
        <v>13</v>
      </c>
      <c r="L4" s="23">
        <f>L1 + L2</f>
        <v>97756</v>
      </c>
    </row>
    <row r="5">
      <c r="A5" s="64" t="s">
        <v>146</v>
      </c>
      <c r="B5" s="64" t="s">
        <v>24</v>
      </c>
      <c r="C5" s="85" t="s">
        <v>268</v>
      </c>
      <c r="D5" s="64">
        <v>2873.0</v>
      </c>
      <c r="E5" s="14"/>
      <c r="G5" s="69"/>
      <c r="H5" s="66" t="s">
        <v>7</v>
      </c>
      <c r="K5" s="39" t="s">
        <v>114</v>
      </c>
      <c r="L5" s="13">
        <f>L4 - (D32)</f>
        <v>16477</v>
      </c>
    </row>
    <row r="6">
      <c r="A6" s="111" t="s">
        <v>264</v>
      </c>
      <c r="B6" s="111" t="s">
        <v>48</v>
      </c>
      <c r="C6" s="85" t="s">
        <v>268</v>
      </c>
      <c r="D6" s="113">
        <v>2884.0</v>
      </c>
      <c r="E6" s="14"/>
      <c r="G6" s="71"/>
      <c r="H6" s="66" t="s">
        <v>183</v>
      </c>
      <c r="K6" s="39" t="s">
        <v>117</v>
      </c>
      <c r="L6" s="34">
        <f>L5 - D68 + (SUMIFS(D14:D44, B14:B44, "=TEMP"))</f>
        <v>10488</v>
      </c>
    </row>
    <row r="7">
      <c r="A7" s="75" t="s">
        <v>196</v>
      </c>
      <c r="B7" s="75" t="s">
        <v>8</v>
      </c>
      <c r="C7" s="85" t="s">
        <v>268</v>
      </c>
      <c r="D7" s="75">
        <v>500.0</v>
      </c>
      <c r="E7" s="14"/>
      <c r="G7" s="92"/>
      <c r="H7" s="66" t="s">
        <v>205</v>
      </c>
    </row>
    <row r="8">
      <c r="A8" s="64" t="s">
        <v>115</v>
      </c>
      <c r="B8" s="64" t="s">
        <v>116</v>
      </c>
      <c r="C8" s="85" t="s">
        <v>268</v>
      </c>
      <c r="D8" s="64">
        <v>8500.0</v>
      </c>
      <c r="E8" s="14"/>
      <c r="F8" s="45"/>
      <c r="G8" s="128"/>
      <c r="H8" s="66" t="s">
        <v>277</v>
      </c>
    </row>
    <row r="9">
      <c r="A9" s="111" t="s">
        <v>270</v>
      </c>
      <c r="B9" s="111" t="s">
        <v>48</v>
      </c>
      <c r="C9" s="85" t="s">
        <v>268</v>
      </c>
      <c r="D9" s="111">
        <v>2500.0</v>
      </c>
      <c r="E9" s="14"/>
      <c r="F9" s="45"/>
      <c r="K9" s="14" t="s">
        <v>51</v>
      </c>
      <c r="L9" s="14">
        <v>2500.0</v>
      </c>
    </row>
    <row r="10">
      <c r="A10" s="70" t="s">
        <v>10</v>
      </c>
      <c r="B10" s="70" t="s">
        <v>140</v>
      </c>
      <c r="C10" s="85" t="s">
        <v>268</v>
      </c>
      <c r="D10" s="70">
        <v>3000.0</v>
      </c>
      <c r="E10" s="14"/>
    </row>
    <row r="11">
      <c r="A11" s="64" t="s">
        <v>201</v>
      </c>
      <c r="B11" s="64" t="s">
        <v>200</v>
      </c>
      <c r="C11" s="85" t="s">
        <v>268</v>
      </c>
      <c r="D11" s="67">
        <v>571.0</v>
      </c>
      <c r="E11" s="14"/>
    </row>
    <row r="12">
      <c r="A12" s="79" t="s">
        <v>47</v>
      </c>
      <c r="B12" s="75" t="s">
        <v>48</v>
      </c>
      <c r="C12" s="129" t="s">
        <v>51</v>
      </c>
      <c r="D12" s="75">
        <v>4000.0</v>
      </c>
      <c r="E12" s="14"/>
      <c r="F12" s="45"/>
    </row>
    <row r="13">
      <c r="A13" s="75" t="s">
        <v>7</v>
      </c>
      <c r="B13" s="75" t="s">
        <v>7</v>
      </c>
      <c r="C13" s="75" t="s">
        <v>51</v>
      </c>
      <c r="D13" s="75">
        <v>1000.0</v>
      </c>
      <c r="E13" s="14"/>
      <c r="F13" s="45"/>
    </row>
    <row r="14">
      <c r="A14" s="106" t="s">
        <v>51</v>
      </c>
      <c r="B14" s="106" t="s">
        <v>48</v>
      </c>
      <c r="C14" s="133" t="s">
        <v>51</v>
      </c>
      <c r="D14" s="106">
        <v>15000.0</v>
      </c>
      <c r="L14" s="118"/>
    </row>
    <row r="15">
      <c r="A15" s="14" t="s">
        <v>310</v>
      </c>
      <c r="C15" s="14" t="s">
        <v>268</v>
      </c>
      <c r="D15" s="14">
        <v>15000.0</v>
      </c>
    </row>
    <row r="16">
      <c r="A16" s="122" t="s">
        <v>60</v>
      </c>
      <c r="B16" s="122" t="s">
        <v>24</v>
      </c>
      <c r="C16" s="124" t="s">
        <v>268</v>
      </c>
      <c r="D16" s="122">
        <f>(1357)</f>
        <v>1357</v>
      </c>
      <c r="E16" s="14"/>
    </row>
    <row r="17">
      <c r="A17" s="14" t="s">
        <v>311</v>
      </c>
      <c r="B17" s="14" t="s">
        <v>48</v>
      </c>
      <c r="C17" s="14" t="s">
        <v>268</v>
      </c>
      <c r="D17" s="8">
        <f>(1001 + 2240)</f>
        <v>3241</v>
      </c>
      <c r="E17" s="14"/>
    </row>
    <row r="18">
      <c r="A18" s="14" t="s">
        <v>93</v>
      </c>
      <c r="B18" s="14" t="s">
        <v>48</v>
      </c>
      <c r="C18" s="14" t="s">
        <v>268</v>
      </c>
      <c r="D18" s="14">
        <v>620.0</v>
      </c>
    </row>
    <row r="19">
      <c r="A19" s="106" t="s">
        <v>312</v>
      </c>
      <c r="B19" s="106"/>
      <c r="C19" s="127"/>
      <c r="D19" s="106">
        <v>730.0</v>
      </c>
      <c r="E19" s="14"/>
    </row>
    <row r="20">
      <c r="A20" s="14" t="s">
        <v>313</v>
      </c>
      <c r="D20" s="8">
        <f>(500 + 1800)</f>
        <v>2300</v>
      </c>
    </row>
    <row r="21">
      <c r="A21" s="14" t="s">
        <v>314</v>
      </c>
      <c r="D21" s="14">
        <v>200.0</v>
      </c>
    </row>
    <row r="22">
      <c r="A22" s="106" t="s">
        <v>278</v>
      </c>
      <c r="B22" s="107"/>
      <c r="C22" s="107"/>
      <c r="D22" s="106">
        <v>8500.0</v>
      </c>
    </row>
    <row r="23">
      <c r="A23" s="106"/>
      <c r="B23" s="106"/>
      <c r="C23" s="107"/>
      <c r="D23" s="106"/>
    </row>
    <row r="24">
      <c r="A24" s="107"/>
      <c r="B24" s="107"/>
      <c r="C24" s="107"/>
      <c r="D24" s="107"/>
    </row>
    <row r="25">
      <c r="A25" s="107"/>
      <c r="B25" s="107"/>
      <c r="C25" s="107"/>
      <c r="D25" s="107"/>
    </row>
    <row r="26">
      <c r="A26" s="107"/>
      <c r="B26" s="107"/>
      <c r="C26" s="107"/>
      <c r="D26" s="107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81279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700.0</v>
      </c>
      <c r="E37" s="14"/>
    </row>
    <row r="38">
      <c r="A38" s="64" t="s">
        <v>221</v>
      </c>
      <c r="B38" s="64" t="s">
        <v>8</v>
      </c>
      <c r="C38" s="85" t="s">
        <v>268</v>
      </c>
      <c r="D38" s="64">
        <f>(1265 - 155)</f>
        <v>1110</v>
      </c>
      <c r="E38" s="14"/>
    </row>
    <row r="39">
      <c r="A39" s="122" t="s">
        <v>60</v>
      </c>
      <c r="B39" s="122" t="s">
        <v>24</v>
      </c>
      <c r="C39" s="124" t="s">
        <v>268</v>
      </c>
      <c r="D39" s="122">
        <f>(1179)</f>
        <v>1179</v>
      </c>
    </row>
    <row r="40">
      <c r="A40" s="14" t="s">
        <v>307</v>
      </c>
      <c r="B40" s="14" t="s">
        <v>52</v>
      </c>
      <c r="C40" s="14" t="s">
        <v>268</v>
      </c>
      <c r="D40" s="14">
        <v>3000.0</v>
      </c>
    </row>
    <row r="50">
      <c r="E50" s="88"/>
    </row>
    <row r="51">
      <c r="A51" s="107"/>
      <c r="B51" s="107"/>
      <c r="C51" s="107"/>
      <c r="D51" s="107"/>
    </row>
    <row r="52">
      <c r="A52" s="106"/>
      <c r="B52" s="106"/>
      <c r="C52" s="127"/>
      <c r="D52" s="106"/>
    </row>
    <row r="53">
      <c r="A53" s="107"/>
      <c r="B53" s="107"/>
      <c r="C53" s="127"/>
      <c r="D53" s="107"/>
    </row>
    <row r="54">
      <c r="H54" s="14"/>
    </row>
    <row r="55">
      <c r="E55" s="14"/>
    </row>
    <row r="68">
      <c r="C68" s="8" t="s">
        <v>39</v>
      </c>
      <c r="D68" s="19">
        <f>SUM(D37:D60)</f>
        <v>5989</v>
      </c>
    </row>
    <row r="71">
      <c r="A71" s="14" t="s">
        <v>131</v>
      </c>
      <c r="B71" s="14" t="s">
        <v>38</v>
      </c>
      <c r="D71" s="14">
        <v>30000.0</v>
      </c>
    </row>
    <row r="72">
      <c r="A72" s="14" t="s">
        <v>278</v>
      </c>
      <c r="B72" s="14" t="s">
        <v>38</v>
      </c>
      <c r="D72" s="14">
        <f>(85000+9500)-('DEC23'!D12)</f>
        <v>69500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2">
    <mergeCell ref="A1:D1"/>
    <mergeCell ref="A35:D3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5807.0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(131909 + 1357)</f>
        <v>133266</v>
      </c>
    </row>
    <row r="3">
      <c r="A3" s="64" t="s">
        <v>199</v>
      </c>
      <c r="B3" s="64" t="s">
        <v>200</v>
      </c>
      <c r="C3" s="85" t="s">
        <v>268</v>
      </c>
      <c r="D3" s="67">
        <v>11713.0</v>
      </c>
      <c r="E3" s="38"/>
      <c r="G3" s="65"/>
      <c r="H3" s="66" t="s">
        <v>269</v>
      </c>
    </row>
    <row r="4">
      <c r="A4" s="111" t="s">
        <v>264</v>
      </c>
      <c r="B4" s="111" t="s">
        <v>48</v>
      </c>
      <c r="C4" s="85" t="s">
        <v>268</v>
      </c>
      <c r="D4" s="113">
        <v>2877.0</v>
      </c>
      <c r="E4" s="14"/>
      <c r="G4" s="68"/>
      <c r="H4" s="66" t="s">
        <v>206</v>
      </c>
      <c r="K4" s="4" t="s">
        <v>13</v>
      </c>
      <c r="L4" s="23">
        <f>L1 + L2</f>
        <v>139073</v>
      </c>
    </row>
    <row r="5">
      <c r="A5" s="14" t="s">
        <v>315</v>
      </c>
      <c r="B5" s="14" t="s">
        <v>140</v>
      </c>
      <c r="C5" s="14" t="s">
        <v>268</v>
      </c>
      <c r="D5" s="14">
        <v>1500.0</v>
      </c>
      <c r="E5" s="14"/>
      <c r="G5" s="69"/>
      <c r="H5" s="66" t="s">
        <v>7</v>
      </c>
      <c r="K5" s="39" t="s">
        <v>114</v>
      </c>
      <c r="L5" s="13">
        <f>L4 - (D47)</f>
        <v>40787.5</v>
      </c>
    </row>
    <row r="6">
      <c r="A6" s="111" t="s">
        <v>270</v>
      </c>
      <c r="B6" s="111" t="s">
        <v>48</v>
      </c>
      <c r="C6" s="85" t="s">
        <v>268</v>
      </c>
      <c r="D6" s="111">
        <v>2500.0</v>
      </c>
      <c r="E6" s="14"/>
      <c r="G6" s="71"/>
      <c r="H6" s="66" t="s">
        <v>183</v>
      </c>
      <c r="K6" s="39" t="s">
        <v>117</v>
      </c>
      <c r="L6" s="34">
        <f>L5 - D68 + (SUMIFS(D14:D53, B14:B53, "=TEMP"))</f>
        <v>21603.5</v>
      </c>
    </row>
    <row r="7">
      <c r="A7" s="70" t="s">
        <v>10</v>
      </c>
      <c r="B7" s="70" t="s">
        <v>140</v>
      </c>
      <c r="C7" s="85" t="s">
        <v>268</v>
      </c>
      <c r="D7" s="70">
        <v>5000.0</v>
      </c>
      <c r="E7" s="14"/>
      <c r="G7" s="92"/>
      <c r="H7" s="66" t="s">
        <v>205</v>
      </c>
    </row>
    <row r="8">
      <c r="A8" s="14" t="s">
        <v>95</v>
      </c>
      <c r="B8" s="14" t="s">
        <v>316</v>
      </c>
      <c r="C8" s="14" t="s">
        <v>268</v>
      </c>
      <c r="D8" s="8">
        <f>(150 + 240 + 263.5 + 90 + 50 - 100)</f>
        <v>693.5</v>
      </c>
      <c r="E8" s="14"/>
      <c r="F8" s="45"/>
      <c r="G8" s="128"/>
      <c r="H8" s="66" t="s">
        <v>277</v>
      </c>
    </row>
    <row r="9">
      <c r="A9" s="75" t="s">
        <v>196</v>
      </c>
      <c r="B9" s="75" t="s">
        <v>8</v>
      </c>
      <c r="C9" s="85" t="s">
        <v>268</v>
      </c>
      <c r="D9" s="75">
        <v>500.0</v>
      </c>
      <c r="E9" s="14"/>
      <c r="F9" s="45"/>
      <c r="K9" s="14" t="s">
        <v>51</v>
      </c>
      <c r="L9" s="14">
        <v>2500.0</v>
      </c>
    </row>
    <row r="10">
      <c r="A10" s="64" t="s">
        <v>146</v>
      </c>
      <c r="B10" s="64" t="s">
        <v>24</v>
      </c>
      <c r="C10" s="85" t="s">
        <v>268</v>
      </c>
      <c r="D10" s="64">
        <v>2874.0</v>
      </c>
      <c r="E10" s="14"/>
    </row>
    <row r="11">
      <c r="A11" s="64" t="s">
        <v>115</v>
      </c>
      <c r="B11" s="64" t="s">
        <v>116</v>
      </c>
      <c r="C11" s="85" t="s">
        <v>268</v>
      </c>
      <c r="D11" s="64">
        <v>8500.0</v>
      </c>
      <c r="E11" s="14"/>
    </row>
    <row r="12">
      <c r="A12" s="79" t="s">
        <v>47</v>
      </c>
      <c r="B12" s="75" t="s">
        <v>48</v>
      </c>
      <c r="C12" s="129" t="s">
        <v>51</v>
      </c>
      <c r="D12" s="75">
        <v>4000.0</v>
      </c>
      <c r="E12" s="14"/>
      <c r="F12" s="45"/>
    </row>
    <row r="13">
      <c r="A13" s="75" t="s">
        <v>7</v>
      </c>
      <c r="B13" s="75" t="s">
        <v>7</v>
      </c>
      <c r="C13" s="75" t="s">
        <v>51</v>
      </c>
      <c r="D13" s="75">
        <f>(1000 + 2500)</f>
        <v>3500</v>
      </c>
      <c r="E13" s="14"/>
      <c r="F13" s="45"/>
      <c r="L13" s="8">
        <f>SUM(9195+7069+4557)-3000-5000</f>
        <v>12821</v>
      </c>
    </row>
    <row r="14">
      <c r="A14" s="106" t="s">
        <v>222</v>
      </c>
      <c r="B14" s="106" t="s">
        <v>52</v>
      </c>
      <c r="C14" s="133" t="s">
        <v>268</v>
      </c>
      <c r="D14" s="106">
        <v>78.0</v>
      </c>
      <c r="L14" s="118"/>
    </row>
    <row r="15">
      <c r="A15" s="14" t="s">
        <v>317</v>
      </c>
      <c r="B15" s="14" t="s">
        <v>24</v>
      </c>
      <c r="C15" s="14" t="s">
        <v>268</v>
      </c>
      <c r="D15" s="14">
        <v>395.0</v>
      </c>
      <c r="L15" s="8">
        <f>SUM(L6+L13)</f>
        <v>34424.5</v>
      </c>
    </row>
    <row r="16">
      <c r="A16" s="14" t="s">
        <v>318</v>
      </c>
      <c r="B16" s="14" t="s">
        <v>24</v>
      </c>
      <c r="C16" s="14" t="s">
        <v>268</v>
      </c>
      <c r="D16" s="14">
        <f>(179 + 29)</f>
        <v>208</v>
      </c>
      <c r="E16" s="14"/>
    </row>
    <row r="17">
      <c r="A17" s="35" t="s">
        <v>154</v>
      </c>
      <c r="B17" s="36" t="s">
        <v>24</v>
      </c>
      <c r="C17" s="36" t="s">
        <v>268</v>
      </c>
      <c r="D17" s="38">
        <v>155.0</v>
      </c>
      <c r="E17" s="14"/>
    </row>
    <row r="18">
      <c r="A18" s="14" t="s">
        <v>319</v>
      </c>
      <c r="B18" s="14" t="s">
        <v>48</v>
      </c>
      <c r="C18" s="14" t="s">
        <v>320</v>
      </c>
      <c r="D18" s="14">
        <v>770.0</v>
      </c>
    </row>
    <row r="19">
      <c r="A19" s="106" t="s">
        <v>321</v>
      </c>
      <c r="B19" s="106" t="s">
        <v>92</v>
      </c>
      <c r="C19" s="127" t="s">
        <v>268</v>
      </c>
      <c r="D19" s="106">
        <v>5500.0</v>
      </c>
      <c r="E19" s="14"/>
    </row>
    <row r="20">
      <c r="A20" s="64" t="s">
        <v>201</v>
      </c>
      <c r="B20" s="64" t="s">
        <v>200</v>
      </c>
      <c r="C20" s="85" t="s">
        <v>268</v>
      </c>
      <c r="D20" s="67">
        <v>8344.0</v>
      </c>
    </row>
    <row r="21">
      <c r="A21" s="14" t="s">
        <v>322</v>
      </c>
      <c r="B21" s="14" t="s">
        <v>48</v>
      </c>
      <c r="C21" s="14" t="s">
        <v>268</v>
      </c>
      <c r="D21" s="14">
        <v>2607.0</v>
      </c>
    </row>
    <row r="22">
      <c r="A22" s="106" t="s">
        <v>323</v>
      </c>
      <c r="B22" s="106" t="s">
        <v>48</v>
      </c>
      <c r="C22" s="106" t="s">
        <v>268</v>
      </c>
      <c r="D22" s="106">
        <v>13769.0</v>
      </c>
    </row>
    <row r="23">
      <c r="A23" s="106" t="s">
        <v>324</v>
      </c>
      <c r="B23" s="106" t="s">
        <v>48</v>
      </c>
      <c r="C23" s="106" t="s">
        <v>268</v>
      </c>
      <c r="D23" s="106">
        <v>7000.0</v>
      </c>
    </row>
    <row r="24">
      <c r="A24" s="106" t="s">
        <v>93</v>
      </c>
      <c r="B24" s="106" t="s">
        <v>48</v>
      </c>
      <c r="C24" s="106" t="s">
        <v>268</v>
      </c>
      <c r="D24" s="106">
        <v>945.0</v>
      </c>
    </row>
    <row r="25">
      <c r="A25" s="106" t="s">
        <v>325</v>
      </c>
      <c r="B25" s="106" t="s">
        <v>94</v>
      </c>
      <c r="C25" s="106" t="s">
        <v>268</v>
      </c>
      <c r="D25" s="106">
        <v>500.0</v>
      </c>
    </row>
    <row r="26">
      <c r="A26" s="106" t="s">
        <v>326</v>
      </c>
      <c r="B26" s="106" t="s">
        <v>24</v>
      </c>
      <c r="C26" s="106" t="s">
        <v>268</v>
      </c>
      <c r="D26" s="106">
        <v>1357.0</v>
      </c>
    </row>
    <row r="27">
      <c r="A27" s="106" t="s">
        <v>278</v>
      </c>
      <c r="B27" s="106" t="s">
        <v>8</v>
      </c>
      <c r="C27" s="127" t="s">
        <v>268</v>
      </c>
      <c r="D27" s="106">
        <v>10000.0</v>
      </c>
      <c r="E27" s="84"/>
    </row>
    <row r="28">
      <c r="A28" s="106" t="s">
        <v>51</v>
      </c>
      <c r="B28" s="106" t="s">
        <v>52</v>
      </c>
      <c r="C28" s="127" t="s">
        <v>51</v>
      </c>
      <c r="D28" s="106">
        <v>2500.0</v>
      </c>
      <c r="K28" s="32"/>
      <c r="M28" s="50"/>
    </row>
    <row r="29">
      <c r="A29" s="106" t="s">
        <v>327</v>
      </c>
      <c r="B29" s="106" t="s">
        <v>52</v>
      </c>
      <c r="C29" s="127" t="s">
        <v>268</v>
      </c>
      <c r="D29" s="106">
        <v>500.0</v>
      </c>
      <c r="K29" s="44"/>
    </row>
    <row r="30">
      <c r="A30" s="107"/>
      <c r="B30" s="107"/>
      <c r="C30" s="107"/>
      <c r="D30" s="107"/>
    </row>
    <row r="47">
      <c r="C47" s="8" t="s">
        <v>37</v>
      </c>
      <c r="D47" s="29">
        <f>SUM(D3:D45)</f>
        <v>98285.5</v>
      </c>
    </row>
    <row r="50">
      <c r="A50" s="17" t="s">
        <v>38</v>
      </c>
      <c r="B50" s="2"/>
      <c r="C50" s="2"/>
      <c r="D50" s="3"/>
      <c r="E50" s="59"/>
    </row>
    <row r="51">
      <c r="A51" s="6" t="s">
        <v>2</v>
      </c>
      <c r="B51" s="6" t="s">
        <v>3</v>
      </c>
      <c r="C51" s="6"/>
      <c r="D51" s="6" t="s">
        <v>5</v>
      </c>
      <c r="E51" s="6"/>
    </row>
    <row r="52">
      <c r="A52" s="62" t="s">
        <v>104</v>
      </c>
      <c r="B52" s="62" t="s">
        <v>24</v>
      </c>
      <c r="C52" s="85" t="s">
        <v>268</v>
      </c>
      <c r="D52" s="64">
        <f>(800 - SUM(D15))</f>
        <v>405</v>
      </c>
      <c r="E52" s="14"/>
    </row>
    <row r="53">
      <c r="A53" s="122" t="s">
        <v>60</v>
      </c>
      <c r="B53" s="122" t="s">
        <v>24</v>
      </c>
      <c r="C53" s="124" t="s">
        <v>268</v>
      </c>
      <c r="D53" s="122">
        <f>(1179)</f>
        <v>1179</v>
      </c>
      <c r="E53" s="14"/>
    </row>
    <row r="54">
      <c r="A54" s="14" t="s">
        <v>307</v>
      </c>
      <c r="B54" s="14" t="s">
        <v>52</v>
      </c>
      <c r="C54" s="14" t="s">
        <v>268</v>
      </c>
      <c r="D54" s="14">
        <f>(10000-D28)</f>
        <v>7500</v>
      </c>
      <c r="H54" s="14"/>
    </row>
    <row r="55">
      <c r="A55" s="106" t="s">
        <v>277</v>
      </c>
      <c r="B55" s="106" t="s">
        <v>48</v>
      </c>
      <c r="C55" s="127" t="s">
        <v>268</v>
      </c>
      <c r="D55" s="106">
        <v>15000.0</v>
      </c>
    </row>
    <row r="56">
      <c r="A56" s="14" t="s">
        <v>328</v>
      </c>
      <c r="B56" s="14" t="s">
        <v>52</v>
      </c>
      <c r="C56" s="14" t="s">
        <v>268</v>
      </c>
      <c r="D56" s="14">
        <v>600.0</v>
      </c>
    </row>
    <row r="68">
      <c r="C68" s="8" t="s">
        <v>39</v>
      </c>
      <c r="D68" s="19">
        <f>SUM(D52:D60)</f>
        <v>24684</v>
      </c>
    </row>
    <row r="71">
      <c r="A71" s="14" t="s">
        <v>131</v>
      </c>
      <c r="B71" s="14" t="s">
        <v>38</v>
      </c>
      <c r="D71" s="14">
        <v>30000.0</v>
      </c>
    </row>
    <row r="72">
      <c r="A72" s="14" t="s">
        <v>278</v>
      </c>
      <c r="B72" s="14" t="s">
        <v>38</v>
      </c>
      <c r="D72" s="14">
        <f>(85000+9500)-(('DEC23'!D12)+D27)</f>
        <v>59500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2">
    <mergeCell ref="A1:D1"/>
    <mergeCell ref="A50:D5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5807.0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(85872)</f>
        <v>85872</v>
      </c>
    </row>
    <row r="3">
      <c r="A3" s="64" t="s">
        <v>199</v>
      </c>
      <c r="B3" s="64" t="s">
        <v>200</v>
      </c>
      <c r="C3" s="85" t="s">
        <v>268</v>
      </c>
      <c r="D3" s="67">
        <v>5766.0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14590.0</v>
      </c>
      <c r="E4" s="14"/>
      <c r="G4" s="68"/>
      <c r="H4" s="66" t="s">
        <v>206</v>
      </c>
      <c r="K4" s="4" t="s">
        <v>13</v>
      </c>
      <c r="L4" s="23">
        <f>L1 + L2</f>
        <v>91679</v>
      </c>
    </row>
    <row r="5">
      <c r="A5" s="106" t="s">
        <v>323</v>
      </c>
      <c r="B5" s="106" t="s">
        <v>48</v>
      </c>
      <c r="C5" s="106" t="s">
        <v>268</v>
      </c>
      <c r="D5" s="106">
        <v>3150.0</v>
      </c>
      <c r="E5" s="14"/>
      <c r="G5" s="69"/>
      <c r="H5" s="66" t="s">
        <v>7</v>
      </c>
      <c r="K5" s="39" t="s">
        <v>114</v>
      </c>
      <c r="L5" s="13">
        <f>L4 - (D32)</f>
        <v>35107</v>
      </c>
    </row>
    <row r="6">
      <c r="A6" s="111" t="s">
        <v>270</v>
      </c>
      <c r="B6" s="111" t="s">
        <v>48</v>
      </c>
      <c r="C6" s="85" t="s">
        <v>268</v>
      </c>
      <c r="D6" s="111">
        <v>2500.0</v>
      </c>
      <c r="E6" s="14"/>
      <c r="G6" s="71"/>
      <c r="H6" s="66" t="s">
        <v>183</v>
      </c>
      <c r="K6" s="39" t="s">
        <v>117</v>
      </c>
      <c r="L6" s="34">
        <f>L5 - D68 + (SUMIFS(D14:D39, B14:B39, "=TEMP"))</f>
        <v>-11898</v>
      </c>
    </row>
    <row r="7">
      <c r="A7" s="70" t="s">
        <v>10</v>
      </c>
      <c r="B7" s="70" t="s">
        <v>140</v>
      </c>
      <c r="C7" s="85" t="s">
        <v>268</v>
      </c>
      <c r="D7" s="70">
        <v>5000.0</v>
      </c>
      <c r="E7" s="14"/>
      <c r="G7" s="92"/>
      <c r="H7" s="66" t="s">
        <v>205</v>
      </c>
    </row>
    <row r="8">
      <c r="A8" s="75" t="s">
        <v>196</v>
      </c>
      <c r="B8" s="75" t="s">
        <v>8</v>
      </c>
      <c r="C8" s="85" t="s">
        <v>268</v>
      </c>
      <c r="D8" s="75">
        <v>500.0</v>
      </c>
      <c r="E8" s="14"/>
      <c r="F8" s="45"/>
      <c r="G8" s="128"/>
      <c r="H8" s="66" t="s">
        <v>277</v>
      </c>
    </row>
    <row r="9">
      <c r="A9" s="64" t="s">
        <v>115</v>
      </c>
      <c r="B9" s="64" t="s">
        <v>116</v>
      </c>
      <c r="C9" s="85" t="s">
        <v>268</v>
      </c>
      <c r="D9" s="64">
        <v>8500.0</v>
      </c>
      <c r="E9" s="14"/>
      <c r="F9" s="45"/>
      <c r="K9" s="14" t="s">
        <v>51</v>
      </c>
      <c r="L9" s="14">
        <v>2500.0</v>
      </c>
    </row>
    <row r="10">
      <c r="A10" s="64" t="s">
        <v>146</v>
      </c>
      <c r="B10" s="64" t="s">
        <v>24</v>
      </c>
      <c r="C10" s="85" t="s">
        <v>268</v>
      </c>
      <c r="D10" s="64">
        <v>2926.0</v>
      </c>
      <c r="E10" s="14"/>
    </row>
    <row r="11">
      <c r="A11" s="64" t="s">
        <v>221</v>
      </c>
      <c r="B11" s="64" t="s">
        <v>8</v>
      </c>
      <c r="C11" s="85" t="s">
        <v>268</v>
      </c>
      <c r="D11" s="64">
        <v>948.0</v>
      </c>
      <c r="E11" s="14"/>
    </row>
    <row r="12">
      <c r="A12" s="14" t="s">
        <v>329</v>
      </c>
      <c r="B12" s="14" t="s">
        <v>48</v>
      </c>
      <c r="C12" s="14" t="s">
        <v>268</v>
      </c>
      <c r="D12" s="14">
        <v>5555.0</v>
      </c>
      <c r="E12" s="14"/>
      <c r="F12" s="45"/>
    </row>
    <row r="13">
      <c r="A13" s="14" t="s">
        <v>330</v>
      </c>
      <c r="B13" s="14" t="s">
        <v>48</v>
      </c>
      <c r="C13" s="14" t="s">
        <v>268</v>
      </c>
      <c r="D13" s="8">
        <f>(3356 + 2696+1085)</f>
        <v>7137</v>
      </c>
      <c r="E13" s="14"/>
      <c r="F13" s="45"/>
      <c r="L13" s="8">
        <f>SUM(9195+7069+4557)-3000-5000</f>
        <v>12821</v>
      </c>
    </row>
    <row r="14">
      <c r="A14" s="106"/>
      <c r="B14" s="106"/>
      <c r="C14" s="133"/>
      <c r="D14" s="106"/>
      <c r="L14" s="118"/>
    </row>
    <row r="15">
      <c r="L15" s="8">
        <f>SUM(L6+L13)</f>
        <v>923</v>
      </c>
    </row>
    <row r="16">
      <c r="E16" s="14"/>
    </row>
    <row r="17">
      <c r="A17" s="35"/>
      <c r="B17" s="36"/>
      <c r="C17" s="36"/>
      <c r="D17" s="38"/>
      <c r="E17" s="14"/>
    </row>
    <row r="19">
      <c r="A19" s="64"/>
      <c r="B19" s="64"/>
      <c r="C19" s="85"/>
      <c r="D19" s="67"/>
      <c r="E19" s="14"/>
    </row>
    <row r="26">
      <c r="A26" s="107"/>
      <c r="B26" s="107"/>
      <c r="C26" s="107"/>
      <c r="D26" s="107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56572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700.0</v>
      </c>
      <c r="E37" s="14"/>
    </row>
    <row r="38">
      <c r="E38" s="14"/>
    </row>
    <row r="39">
      <c r="A39" s="122" t="s">
        <v>60</v>
      </c>
      <c r="B39" s="122" t="s">
        <v>24</v>
      </c>
      <c r="C39" s="124" t="s">
        <v>268</v>
      </c>
      <c r="D39" s="134">
        <f>SUM(1179, 1357)</f>
        <v>2536</v>
      </c>
    </row>
    <row r="40">
      <c r="A40" s="14" t="s">
        <v>307</v>
      </c>
      <c r="B40" s="14" t="s">
        <v>52</v>
      </c>
      <c r="C40" s="14" t="s">
        <v>268</v>
      </c>
      <c r="D40" s="14">
        <v>8000.0</v>
      </c>
    </row>
    <row r="41">
      <c r="A41" s="106" t="s">
        <v>277</v>
      </c>
      <c r="B41" s="106" t="s">
        <v>48</v>
      </c>
      <c r="C41" s="127" t="s">
        <v>268</v>
      </c>
      <c r="D41" s="106">
        <v>20000.0</v>
      </c>
      <c r="G41" s="8">
        <f>D12+D11</f>
        <v>6503</v>
      </c>
    </row>
    <row r="42">
      <c r="A42" s="111" t="s">
        <v>264</v>
      </c>
      <c r="B42" s="111" t="s">
        <v>48</v>
      </c>
      <c r="C42" s="85" t="s">
        <v>268</v>
      </c>
      <c r="D42" s="113">
        <v>2869.0</v>
      </c>
    </row>
    <row r="43">
      <c r="A43" s="79" t="s">
        <v>47</v>
      </c>
      <c r="B43" s="75" t="s">
        <v>48</v>
      </c>
      <c r="C43" s="129" t="s">
        <v>51</v>
      </c>
      <c r="D43" s="75">
        <v>4000.0</v>
      </c>
    </row>
    <row r="44">
      <c r="A44" s="75" t="s">
        <v>7</v>
      </c>
      <c r="B44" s="75" t="s">
        <v>7</v>
      </c>
      <c r="C44" s="75" t="s">
        <v>51</v>
      </c>
      <c r="D44" s="75">
        <v>2500.0</v>
      </c>
    </row>
    <row r="46">
      <c r="A46" s="14" t="s">
        <v>221</v>
      </c>
      <c r="D46" s="14">
        <v>6400.0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SUM(D37:D60)</f>
        <v>47005</v>
      </c>
    </row>
    <row r="71">
      <c r="A71" s="14" t="s">
        <v>131</v>
      </c>
      <c r="B71" s="14" t="s">
        <v>38</v>
      </c>
      <c r="D71" s="14">
        <v>30000.0</v>
      </c>
    </row>
    <row r="72">
      <c r="A72" s="14" t="s">
        <v>278</v>
      </c>
      <c r="B72" s="14" t="s">
        <v>38</v>
      </c>
      <c r="D72" s="14">
        <f>(85000+9500)-(('DEC23'!D12) + ('MAR-24'!D27))</f>
        <v>59500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2">
    <mergeCell ref="A1:D1"/>
    <mergeCell ref="A35:D3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20.71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7463.0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(104781)</f>
        <v>104781</v>
      </c>
    </row>
    <row r="3">
      <c r="A3" s="79" t="s">
        <v>47</v>
      </c>
      <c r="B3" s="75" t="s">
        <v>48</v>
      </c>
      <c r="C3" s="129" t="s">
        <v>51</v>
      </c>
      <c r="D3" s="75">
        <v>4000.0</v>
      </c>
      <c r="E3" s="38"/>
      <c r="G3" s="65"/>
      <c r="H3" s="66" t="s">
        <v>269</v>
      </c>
    </row>
    <row r="4">
      <c r="A4" s="75" t="s">
        <v>7</v>
      </c>
      <c r="B4" s="75" t="s">
        <v>7</v>
      </c>
      <c r="C4" s="75" t="s">
        <v>51</v>
      </c>
      <c r="D4" s="75">
        <v>3000.0</v>
      </c>
      <c r="E4" s="14"/>
      <c r="G4" s="68"/>
      <c r="H4" s="66" t="s">
        <v>206</v>
      </c>
      <c r="K4" s="4" t="s">
        <v>13</v>
      </c>
      <c r="L4" s="23">
        <f>L1 + L2</f>
        <v>112244</v>
      </c>
    </row>
    <row r="5">
      <c r="A5" s="64" t="s">
        <v>199</v>
      </c>
      <c r="B5" s="64" t="s">
        <v>200</v>
      </c>
      <c r="C5" s="85" t="s">
        <v>268</v>
      </c>
      <c r="D5" s="67">
        <v>8734.0</v>
      </c>
      <c r="E5" s="14"/>
      <c r="G5" s="69"/>
      <c r="H5" s="66" t="s">
        <v>7</v>
      </c>
      <c r="K5" s="39" t="s">
        <v>114</v>
      </c>
      <c r="L5" s="13">
        <f>L4 - (D44)</f>
        <v>14052</v>
      </c>
    </row>
    <row r="6">
      <c r="A6" s="64" t="s">
        <v>201</v>
      </c>
      <c r="B6" s="64" t="s">
        <v>200</v>
      </c>
      <c r="C6" s="85" t="s">
        <v>268</v>
      </c>
      <c r="D6" s="67">
        <v>15414.0</v>
      </c>
      <c r="E6" s="14"/>
      <c r="G6" s="71"/>
      <c r="H6" s="66" t="s">
        <v>183</v>
      </c>
      <c r="K6" s="39" t="s">
        <v>117</v>
      </c>
      <c r="L6" s="34">
        <f>L5 - D56 + (SUMIFS(D3:D31, B3:B31, "=TEMP"))</f>
        <v>3530</v>
      </c>
    </row>
    <row r="7">
      <c r="A7" s="14" t="s">
        <v>331</v>
      </c>
      <c r="B7" s="14" t="s">
        <v>52</v>
      </c>
      <c r="C7" s="14" t="s">
        <v>51</v>
      </c>
      <c r="D7" s="14">
        <v>1680.0</v>
      </c>
      <c r="E7" s="14"/>
      <c r="G7" s="92"/>
      <c r="H7" s="66" t="s">
        <v>205</v>
      </c>
    </row>
    <row r="8">
      <c r="A8" s="14" t="s">
        <v>51</v>
      </c>
      <c r="B8" s="14" t="s">
        <v>52</v>
      </c>
      <c r="C8" s="14" t="s">
        <v>51</v>
      </c>
      <c r="D8" s="14">
        <v>6320.0</v>
      </c>
      <c r="E8" s="14"/>
      <c r="F8" s="45"/>
      <c r="G8" s="128"/>
      <c r="H8" s="66" t="s">
        <v>277</v>
      </c>
    </row>
    <row r="9">
      <c r="A9" s="64" t="s">
        <v>115</v>
      </c>
      <c r="B9" s="64" t="s">
        <v>116</v>
      </c>
      <c r="C9" s="85" t="s">
        <v>268</v>
      </c>
      <c r="D9" s="64">
        <v>8500.0</v>
      </c>
      <c r="E9" s="14"/>
      <c r="F9" s="45"/>
      <c r="K9" s="14" t="s">
        <v>51</v>
      </c>
      <c r="L9" s="14">
        <v>2500.0</v>
      </c>
    </row>
    <row r="10">
      <c r="A10" s="111" t="s">
        <v>264</v>
      </c>
      <c r="B10" s="111" t="s">
        <v>48</v>
      </c>
      <c r="C10" s="85" t="s">
        <v>268</v>
      </c>
      <c r="D10" s="113">
        <v>2861.0</v>
      </c>
      <c r="E10" s="14"/>
    </row>
    <row r="11">
      <c r="A11" s="64" t="s">
        <v>146</v>
      </c>
      <c r="B11" s="64" t="s">
        <v>24</v>
      </c>
      <c r="C11" s="85" t="s">
        <v>268</v>
      </c>
      <c r="D11" s="64">
        <f>2661+904</f>
        <v>3565</v>
      </c>
      <c r="E11" s="14"/>
    </row>
    <row r="12">
      <c r="A12" s="14" t="s">
        <v>332</v>
      </c>
      <c r="B12" s="14" t="s">
        <v>52</v>
      </c>
      <c r="C12" s="14" t="s">
        <v>268</v>
      </c>
      <c r="D12" s="14">
        <v>1400.0</v>
      </c>
      <c r="E12" s="14"/>
      <c r="F12" s="45"/>
    </row>
    <row r="13">
      <c r="A13" s="106" t="s">
        <v>323</v>
      </c>
      <c r="B13" s="106" t="s">
        <v>48</v>
      </c>
      <c r="C13" s="106" t="s">
        <v>268</v>
      </c>
      <c r="D13" s="106">
        <v>3150.0</v>
      </c>
      <c r="E13" s="14"/>
      <c r="F13" s="45"/>
    </row>
    <row r="14">
      <c r="A14" s="111" t="s">
        <v>270</v>
      </c>
      <c r="B14" s="111" t="s">
        <v>48</v>
      </c>
      <c r="C14" s="85" t="s">
        <v>268</v>
      </c>
      <c r="D14" s="111">
        <v>2500.0</v>
      </c>
      <c r="L14" s="118"/>
    </row>
    <row r="15">
      <c r="A15" s="70" t="s">
        <v>10</v>
      </c>
      <c r="B15" s="70" t="s">
        <v>140</v>
      </c>
      <c r="C15" s="85" t="s">
        <v>268</v>
      </c>
      <c r="D15" s="70">
        <v>5000.0</v>
      </c>
      <c r="G15" s="14" t="s">
        <v>333</v>
      </c>
    </row>
    <row r="16">
      <c r="A16" s="106" t="s">
        <v>277</v>
      </c>
      <c r="B16" s="106" t="s">
        <v>48</v>
      </c>
      <c r="C16" s="127" t="s">
        <v>268</v>
      </c>
      <c r="D16" s="106">
        <v>15000.0</v>
      </c>
      <c r="E16" s="14"/>
      <c r="G16" s="14" t="s">
        <v>197</v>
      </c>
      <c r="H16" s="14" t="s">
        <v>268</v>
      </c>
      <c r="I16" s="14">
        <v>100.0</v>
      </c>
      <c r="J16" s="42">
        <f t="shared" ref="J16:J18" si="1">DATE(2024, 5, 18)</f>
        <v>45430</v>
      </c>
    </row>
    <row r="17">
      <c r="A17" s="122" t="s">
        <v>60</v>
      </c>
      <c r="B17" s="122" t="s">
        <v>24</v>
      </c>
      <c r="C17" s="124" t="s">
        <v>268</v>
      </c>
      <c r="D17" s="134">
        <v>1357.0</v>
      </c>
      <c r="E17" s="14"/>
      <c r="G17" s="14" t="s">
        <v>334</v>
      </c>
      <c r="H17" s="14" t="s">
        <v>268</v>
      </c>
      <c r="I17" s="14">
        <v>20.0</v>
      </c>
      <c r="J17" s="42">
        <f t="shared" si="1"/>
        <v>45430</v>
      </c>
    </row>
    <row r="18">
      <c r="A18" s="14" t="s">
        <v>335</v>
      </c>
      <c r="B18" s="14" t="s">
        <v>24</v>
      </c>
      <c r="C18" s="14" t="s">
        <v>268</v>
      </c>
      <c r="D18" s="14">
        <f>155+155</f>
        <v>310</v>
      </c>
      <c r="G18" s="14" t="s">
        <v>336</v>
      </c>
      <c r="H18" s="14" t="s">
        <v>268</v>
      </c>
      <c r="I18" s="14">
        <v>220.0</v>
      </c>
      <c r="J18" s="42">
        <f t="shared" si="1"/>
        <v>45430</v>
      </c>
    </row>
    <row r="19">
      <c r="A19" s="64" t="s">
        <v>316</v>
      </c>
      <c r="B19" s="64" t="s">
        <v>316</v>
      </c>
      <c r="C19" s="14" t="s">
        <v>268</v>
      </c>
      <c r="D19" s="67">
        <f>(230+50+5+108-6 + 40 + 29) + 905</f>
        <v>1361</v>
      </c>
      <c r="E19" s="14"/>
      <c r="G19" s="14" t="s">
        <v>337</v>
      </c>
      <c r="H19" s="14" t="s">
        <v>268</v>
      </c>
      <c r="I19" s="8">
        <f>SUM(309, 20,185,75)</f>
        <v>589</v>
      </c>
      <c r="J19" s="42">
        <f t="shared" ref="J19:J20" si="2">DATE(2024, 5, 19)</f>
        <v>45431</v>
      </c>
    </row>
    <row r="20">
      <c r="A20" s="14" t="s">
        <v>338</v>
      </c>
      <c r="B20" s="14" t="s">
        <v>48</v>
      </c>
      <c r="C20" s="14" t="s">
        <v>268</v>
      </c>
      <c r="D20" s="14">
        <v>1880.0</v>
      </c>
      <c r="G20" s="14" t="s">
        <v>334</v>
      </c>
      <c r="H20" s="14" t="s">
        <v>268</v>
      </c>
      <c r="I20" s="14">
        <v>22.0</v>
      </c>
      <c r="J20" s="42">
        <f t="shared" si="2"/>
        <v>45431</v>
      </c>
    </row>
    <row r="21">
      <c r="A21" s="14" t="s">
        <v>339</v>
      </c>
      <c r="B21" s="14" t="s">
        <v>24</v>
      </c>
      <c r="C21" s="14" t="s">
        <v>268</v>
      </c>
      <c r="D21" s="14">
        <v>155.0</v>
      </c>
      <c r="G21" s="14" t="s">
        <v>340</v>
      </c>
      <c r="H21" s="14" t="s">
        <v>268</v>
      </c>
      <c r="I21" s="14">
        <v>500.0</v>
      </c>
      <c r="J21" s="42">
        <f t="shared" ref="J21:J23" si="3">DATE(2024, 5, 20)</f>
        <v>45432</v>
      </c>
    </row>
    <row r="22">
      <c r="A22" s="75" t="s">
        <v>196</v>
      </c>
      <c r="B22" s="75" t="s">
        <v>8</v>
      </c>
      <c r="C22" s="85" t="s">
        <v>268</v>
      </c>
      <c r="D22" s="75">
        <v>500.0</v>
      </c>
      <c r="G22" s="14" t="s">
        <v>229</v>
      </c>
      <c r="H22" s="14" t="s">
        <v>268</v>
      </c>
      <c r="I22" s="14">
        <v>400.0</v>
      </c>
      <c r="J22" s="42">
        <f t="shared" si="3"/>
        <v>45432</v>
      </c>
    </row>
    <row r="23">
      <c r="A23" s="14" t="s">
        <v>222</v>
      </c>
      <c r="B23" s="14" t="s">
        <v>52</v>
      </c>
      <c r="C23" s="14" t="s">
        <v>268</v>
      </c>
      <c r="D23" s="14">
        <v>77.0</v>
      </c>
      <c r="G23" s="14" t="s">
        <v>337</v>
      </c>
      <c r="H23" s="14" t="s">
        <v>268</v>
      </c>
      <c r="I23" s="14">
        <v>131.0</v>
      </c>
      <c r="J23" s="42">
        <f t="shared" si="3"/>
        <v>45432</v>
      </c>
    </row>
    <row r="24">
      <c r="A24" s="14" t="s">
        <v>341</v>
      </c>
      <c r="B24" s="14" t="s">
        <v>342</v>
      </c>
      <c r="C24" s="14" t="s">
        <v>268</v>
      </c>
      <c r="D24" s="14">
        <v>500.0</v>
      </c>
    </row>
    <row r="25">
      <c r="A25" s="14" t="s">
        <v>343</v>
      </c>
      <c r="B25" s="14" t="s">
        <v>342</v>
      </c>
      <c r="C25" s="14" t="s">
        <v>268</v>
      </c>
      <c r="D25" s="14">
        <v>5000.0</v>
      </c>
    </row>
    <row r="26">
      <c r="A26" s="106" t="s">
        <v>344</v>
      </c>
      <c r="B26" s="106" t="s">
        <v>24</v>
      </c>
      <c r="C26" s="106" t="s">
        <v>268</v>
      </c>
      <c r="D26" s="106">
        <v>436.0</v>
      </c>
    </row>
    <row r="27">
      <c r="A27" s="106" t="s">
        <v>345</v>
      </c>
      <c r="B27" s="106" t="s">
        <v>52</v>
      </c>
      <c r="C27" s="127" t="s">
        <v>268</v>
      </c>
      <c r="D27" s="107">
        <f>SUM(380, 40, 940)</f>
        <v>1360</v>
      </c>
      <c r="E27" s="84"/>
    </row>
    <row r="28">
      <c r="A28" s="106" t="s">
        <v>346</v>
      </c>
      <c r="B28" s="106" t="s">
        <v>52</v>
      </c>
      <c r="C28" s="127" t="s">
        <v>268</v>
      </c>
      <c r="D28" s="107">
        <f>I32</f>
        <v>1982</v>
      </c>
      <c r="K28" s="32"/>
      <c r="M28" s="50"/>
    </row>
    <row r="29">
      <c r="A29" s="106" t="s">
        <v>347</v>
      </c>
      <c r="B29" s="106" t="s">
        <v>48</v>
      </c>
      <c r="C29" s="127" t="s">
        <v>268</v>
      </c>
      <c r="D29" s="106">
        <v>1200.0</v>
      </c>
      <c r="K29" s="44"/>
    </row>
    <row r="30">
      <c r="A30" s="106" t="s">
        <v>348</v>
      </c>
      <c r="B30" s="106" t="s">
        <v>205</v>
      </c>
      <c r="C30" s="106" t="s">
        <v>268</v>
      </c>
      <c r="D30" s="106">
        <v>950.0</v>
      </c>
    </row>
    <row r="32">
      <c r="G32" s="14" t="s">
        <v>349</v>
      </c>
      <c r="I32" s="8">
        <f>SUM(I16:I30)</f>
        <v>1982</v>
      </c>
    </row>
    <row r="44">
      <c r="C44" s="8" t="s">
        <v>37</v>
      </c>
      <c r="D44" s="29">
        <f>SUM(D3:D42)</f>
        <v>98192</v>
      </c>
    </row>
    <row r="47">
      <c r="A47" s="17" t="s">
        <v>38</v>
      </c>
      <c r="B47" s="2"/>
      <c r="C47" s="2"/>
      <c r="D47" s="3"/>
      <c r="E47" s="59"/>
    </row>
    <row r="48">
      <c r="A48" s="6" t="s">
        <v>2</v>
      </c>
      <c r="B48" s="6" t="s">
        <v>3</v>
      </c>
      <c r="C48" s="6"/>
      <c r="D48" s="6" t="s">
        <v>5</v>
      </c>
      <c r="E48" s="6"/>
    </row>
    <row r="49">
      <c r="A49" s="62" t="s">
        <v>104</v>
      </c>
      <c r="B49" s="62" t="s">
        <v>24</v>
      </c>
      <c r="C49" s="85" t="s">
        <v>268</v>
      </c>
      <c r="D49" s="64">
        <f>700-(D21+D18)</f>
        <v>235</v>
      </c>
      <c r="E49" s="14"/>
    </row>
    <row r="50">
      <c r="A50" s="64" t="s">
        <v>221</v>
      </c>
      <c r="B50" s="64" t="s">
        <v>8</v>
      </c>
      <c r="C50" s="85" t="s">
        <v>268</v>
      </c>
      <c r="D50" s="64">
        <v>2400.0</v>
      </c>
      <c r="E50" s="14"/>
    </row>
    <row r="51">
      <c r="A51" s="122" t="s">
        <v>60</v>
      </c>
      <c r="B51" s="122" t="s">
        <v>24</v>
      </c>
      <c r="C51" s="124" t="s">
        <v>268</v>
      </c>
      <c r="D51" s="134">
        <f>SUM(1179)</f>
        <v>1179</v>
      </c>
    </row>
    <row r="52">
      <c r="A52" s="14" t="s">
        <v>307</v>
      </c>
      <c r="B52" s="14" t="s">
        <v>52</v>
      </c>
      <c r="C52" s="14" t="s">
        <v>268</v>
      </c>
      <c r="D52" s="14">
        <f>6000 - (D27+D28)</f>
        <v>2658</v>
      </c>
    </row>
    <row r="53">
      <c r="A53" s="106" t="s">
        <v>277</v>
      </c>
      <c r="B53" s="106" t="s">
        <v>48</v>
      </c>
      <c r="C53" s="127" t="s">
        <v>268</v>
      </c>
      <c r="D53" s="106">
        <v>5000.0</v>
      </c>
    </row>
    <row r="54">
      <c r="H54" s="14"/>
    </row>
    <row r="56">
      <c r="C56" s="8" t="s">
        <v>39</v>
      </c>
      <c r="D56" s="19">
        <f>SUM(D49:D55)</f>
        <v>11472</v>
      </c>
    </row>
    <row r="58">
      <c r="A58" s="14" t="s">
        <v>131</v>
      </c>
      <c r="B58" s="14" t="s">
        <v>38</v>
      </c>
      <c r="D58" s="14">
        <v>30000.0</v>
      </c>
    </row>
    <row r="59">
      <c r="A59" s="14" t="s">
        <v>278</v>
      </c>
      <c r="B59" s="14" t="s">
        <v>38</v>
      </c>
      <c r="D59" s="14">
        <f>(85000+9500)-(('DEC23'!D12) + ('MAR-24'!D27))</f>
        <v>59500</v>
      </c>
    </row>
    <row r="60">
      <c r="A60" s="14" t="s">
        <v>305</v>
      </c>
      <c r="B60" s="14" t="s">
        <v>38</v>
      </c>
      <c r="D60" s="14">
        <f>(50000 - ('JAN-24'!D28))</f>
        <v>40000</v>
      </c>
    </row>
    <row r="61">
      <c r="A61" s="14" t="s">
        <v>350</v>
      </c>
      <c r="B61" s="14" t="s">
        <v>38</v>
      </c>
      <c r="D61" s="14">
        <v>50000.0</v>
      </c>
    </row>
    <row r="63">
      <c r="D63" s="8">
        <f>SUM(D58:D61)</f>
        <v>179500</v>
      </c>
    </row>
  </sheetData>
  <mergeCells count="3">
    <mergeCell ref="A1:D1"/>
    <mergeCell ref="G15:I15"/>
    <mergeCell ref="A47:D4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20.71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5828.0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196819.0</v>
      </c>
    </row>
    <row r="3">
      <c r="A3" s="64" t="s">
        <v>199</v>
      </c>
      <c r="B3" s="64" t="s">
        <v>200</v>
      </c>
      <c r="C3" s="85" t="s">
        <v>268</v>
      </c>
      <c r="D3" s="67">
        <v>9098.0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13555.0</v>
      </c>
      <c r="E4" s="14"/>
      <c r="G4" s="68"/>
      <c r="H4" s="66" t="s">
        <v>206</v>
      </c>
      <c r="K4" s="4" t="s">
        <v>13</v>
      </c>
      <c r="L4" s="23">
        <f>L1 + L2</f>
        <v>202647</v>
      </c>
    </row>
    <row r="5">
      <c r="A5" s="14" t="s">
        <v>351</v>
      </c>
      <c r="B5" s="14" t="s">
        <v>52</v>
      </c>
      <c r="C5" s="14" t="s">
        <v>268</v>
      </c>
      <c r="D5" s="8">
        <f>SUM(41,30,65, 326, 45, 25, 50, 50, 53, 30, 100, 18, 185, 40,115,420, 75, 123, 1231, 20, 50, 56, 20, 25, 200, 47, 41, 10, 10, 20, 20, 75, 50, 30, 95, 23, 15, 155, 90, 23, 1500, 381, 20, 23, 20, 15, 50, 41, 15, 70, 23, 92)</f>
        <v>6347</v>
      </c>
      <c r="E5" s="14"/>
      <c r="G5" s="69"/>
      <c r="H5" s="66" t="s">
        <v>7</v>
      </c>
      <c r="K5" s="39" t="s">
        <v>114</v>
      </c>
      <c r="L5" s="13">
        <f>L4 - (D32)</f>
        <v>14784</v>
      </c>
    </row>
    <row r="6">
      <c r="A6" s="14" t="s">
        <v>275</v>
      </c>
      <c r="B6" s="14" t="s">
        <v>52</v>
      </c>
      <c r="C6" s="14" t="s">
        <v>268</v>
      </c>
      <c r="D6" s="14">
        <f>(1000+1000)</f>
        <v>2000</v>
      </c>
      <c r="E6" s="14"/>
      <c r="G6" s="71"/>
      <c r="H6" s="66" t="s">
        <v>183</v>
      </c>
      <c r="K6" s="39" t="s">
        <v>117</v>
      </c>
      <c r="L6" s="34">
        <f>L5 - D68 + (SUMIFS(D3:D30, B3:B30, "=TEMP"))</f>
        <v>-26</v>
      </c>
    </row>
    <row r="7">
      <c r="A7" s="75" t="s">
        <v>196</v>
      </c>
      <c r="B7" s="75" t="s">
        <v>8</v>
      </c>
      <c r="C7" s="85" t="s">
        <v>268</v>
      </c>
      <c r="D7" s="75">
        <v>500.0</v>
      </c>
      <c r="E7" s="14"/>
      <c r="G7" s="92"/>
      <c r="H7" s="66" t="s">
        <v>205</v>
      </c>
    </row>
    <row r="8">
      <c r="A8" s="64" t="s">
        <v>146</v>
      </c>
      <c r="B8" s="64" t="s">
        <v>24</v>
      </c>
      <c r="C8" s="85" t="s">
        <v>268</v>
      </c>
      <c r="D8" s="64">
        <f>2659+535</f>
        <v>3194</v>
      </c>
      <c r="E8" s="14"/>
      <c r="F8" s="45"/>
      <c r="G8" s="128"/>
      <c r="H8" s="66" t="s">
        <v>277</v>
      </c>
    </row>
    <row r="9">
      <c r="A9" s="14" t="s">
        <v>197</v>
      </c>
      <c r="B9" s="14" t="s">
        <v>52</v>
      </c>
      <c r="C9" s="14" t="s">
        <v>268</v>
      </c>
      <c r="D9" s="8">
        <f>(100+100+100)</f>
        <v>300</v>
      </c>
      <c r="E9" s="14"/>
      <c r="F9" s="45"/>
      <c r="K9" s="14" t="s">
        <v>51</v>
      </c>
      <c r="L9" s="14">
        <v>2500.0</v>
      </c>
    </row>
    <row r="10">
      <c r="A10" s="106" t="s">
        <v>323</v>
      </c>
      <c r="B10" s="106" t="s">
        <v>48</v>
      </c>
      <c r="C10" s="106" t="s">
        <v>268</v>
      </c>
      <c r="D10" s="106">
        <v>3150.0</v>
      </c>
      <c r="E10" s="14"/>
    </row>
    <row r="11">
      <c r="A11" s="111" t="s">
        <v>270</v>
      </c>
      <c r="B11" s="111" t="s">
        <v>48</v>
      </c>
      <c r="C11" s="85" t="s">
        <v>268</v>
      </c>
      <c r="D11" s="111">
        <v>2500.0</v>
      </c>
      <c r="E11" s="14"/>
    </row>
    <row r="12">
      <c r="A12" s="70" t="s">
        <v>10</v>
      </c>
      <c r="B12" s="70" t="s">
        <v>140</v>
      </c>
      <c r="C12" s="85" t="s">
        <v>268</v>
      </c>
      <c r="D12" s="70">
        <v>5000.0</v>
      </c>
      <c r="E12" s="14"/>
      <c r="F12" s="45"/>
    </row>
    <row r="13">
      <c r="A13" s="106" t="s">
        <v>277</v>
      </c>
      <c r="B13" s="106" t="s">
        <v>48</v>
      </c>
      <c r="C13" s="127" t="s">
        <v>268</v>
      </c>
      <c r="D13" s="106">
        <v>20050.0</v>
      </c>
      <c r="E13" s="14"/>
      <c r="F13" s="45"/>
      <c r="L13" s="8">
        <f>SUM(9195+7069+4557)-3000-5000</f>
        <v>12821</v>
      </c>
    </row>
    <row r="14">
      <c r="A14" s="79" t="s">
        <v>47</v>
      </c>
      <c r="B14" s="75" t="s">
        <v>48</v>
      </c>
      <c r="C14" s="129" t="s">
        <v>51</v>
      </c>
      <c r="D14" s="75">
        <v>4000.0</v>
      </c>
      <c r="L14" s="118"/>
    </row>
    <row r="15">
      <c r="A15" s="75" t="s">
        <v>7</v>
      </c>
      <c r="B15" s="75" t="s">
        <v>7</v>
      </c>
      <c r="C15" s="75" t="s">
        <v>51</v>
      </c>
      <c r="D15" s="75">
        <v>5000.0</v>
      </c>
      <c r="L15" s="8">
        <f>SUM(L6+L13)</f>
        <v>12795</v>
      </c>
    </row>
    <row r="16">
      <c r="A16" s="111" t="s">
        <v>264</v>
      </c>
      <c r="B16" s="111" t="s">
        <v>48</v>
      </c>
      <c r="C16" s="85" t="s">
        <v>268</v>
      </c>
      <c r="D16" s="113">
        <v>2869.0</v>
      </c>
      <c r="E16" s="14"/>
    </row>
    <row r="17">
      <c r="A17" s="35" t="s">
        <v>229</v>
      </c>
      <c r="B17" s="35" t="s">
        <v>352</v>
      </c>
      <c r="C17" s="35" t="s">
        <v>268</v>
      </c>
      <c r="D17" s="38">
        <v>400.0</v>
      </c>
      <c r="E17" s="14"/>
    </row>
    <row r="18">
      <c r="A18" s="122" t="s">
        <v>60</v>
      </c>
      <c r="B18" s="122" t="s">
        <v>24</v>
      </c>
      <c r="C18" s="124" t="s">
        <v>268</v>
      </c>
      <c r="D18" s="134">
        <f>SUM(1357)</f>
        <v>1357</v>
      </c>
    </row>
    <row r="19">
      <c r="A19" s="14" t="s">
        <v>278</v>
      </c>
      <c r="B19" s="14" t="s">
        <v>38</v>
      </c>
      <c r="C19" s="14" t="s">
        <v>268</v>
      </c>
      <c r="D19" s="14">
        <f>(85000+9500)-(('DEC23'!D12) + ('MAR-24'!D27) + 500)</f>
        <v>59000</v>
      </c>
      <c r="E19" s="14"/>
    </row>
    <row r="20">
      <c r="A20" s="14" t="s">
        <v>350</v>
      </c>
      <c r="B20" s="14" t="s">
        <v>38</v>
      </c>
      <c r="C20" s="14" t="s">
        <v>268</v>
      </c>
      <c r="D20" s="14">
        <v>30000.0</v>
      </c>
    </row>
    <row r="21">
      <c r="A21" s="64" t="s">
        <v>115</v>
      </c>
      <c r="B21" s="64" t="s">
        <v>116</v>
      </c>
      <c r="C21" s="85" t="s">
        <v>268</v>
      </c>
      <c r="D21" s="64">
        <v>10000.0</v>
      </c>
    </row>
    <row r="22">
      <c r="A22" s="14" t="s">
        <v>205</v>
      </c>
      <c r="B22" s="14" t="s">
        <v>92</v>
      </c>
      <c r="C22" s="14" t="s">
        <v>268</v>
      </c>
      <c r="D22" s="14">
        <v>-11767.0</v>
      </c>
    </row>
    <row r="23">
      <c r="A23" s="14" t="s">
        <v>353</v>
      </c>
      <c r="B23" s="14" t="s">
        <v>48</v>
      </c>
      <c r="C23" s="14" t="s">
        <v>268</v>
      </c>
      <c r="D23" s="14">
        <v>8000.0</v>
      </c>
    </row>
    <row r="24">
      <c r="A24" s="14" t="s">
        <v>354</v>
      </c>
      <c r="B24" s="14" t="s">
        <v>140</v>
      </c>
      <c r="C24" s="14" t="s">
        <v>268</v>
      </c>
      <c r="D24" s="14">
        <f>(5000+8000)</f>
        <v>13000</v>
      </c>
    </row>
    <row r="25">
      <c r="A25" s="14" t="s">
        <v>355</v>
      </c>
      <c r="B25" s="14" t="s">
        <v>24</v>
      </c>
      <c r="C25" s="14" t="s">
        <v>268</v>
      </c>
      <c r="D25" s="14">
        <v>155.0</v>
      </c>
    </row>
    <row r="26">
      <c r="A26" s="14" t="s">
        <v>356</v>
      </c>
      <c r="B26" s="14" t="s">
        <v>24</v>
      </c>
      <c r="C26" s="14" t="s">
        <v>268</v>
      </c>
      <c r="D26" s="14">
        <v>155.0</v>
      </c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187863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(700 - (D25 + D26))</f>
        <v>390</v>
      </c>
      <c r="E37" s="14"/>
    </row>
    <row r="38">
      <c r="A38" s="64"/>
      <c r="B38" s="64"/>
      <c r="C38" s="85"/>
      <c r="D38" s="64"/>
      <c r="E38" s="14"/>
    </row>
    <row r="39">
      <c r="A39" s="122"/>
      <c r="B39" s="122"/>
      <c r="C39" s="124"/>
      <c r="D39" s="134"/>
    </row>
    <row r="40">
      <c r="A40" s="14" t="s">
        <v>307</v>
      </c>
      <c r="B40" s="14" t="s">
        <v>52</v>
      </c>
      <c r="C40" s="14" t="s">
        <v>268</v>
      </c>
      <c r="D40" s="14">
        <f>8000-SUM(D6, D5)</f>
        <v>-347</v>
      </c>
    </row>
    <row r="42">
      <c r="A42" s="14" t="s">
        <v>357</v>
      </c>
      <c r="B42" s="14" t="s">
        <v>48</v>
      </c>
      <c r="C42" s="14" t="s">
        <v>268</v>
      </c>
      <c r="D42" s="14">
        <v>3000.0</v>
      </c>
    </row>
    <row r="43">
      <c r="A43" s="64"/>
      <c r="B43" s="64"/>
      <c r="C43" s="85"/>
      <c r="D43" s="64"/>
    </row>
    <row r="46">
      <c r="F46" s="8">
        <f>SUM(D10:D13)</f>
        <v>30700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3043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8:I18"/>
    <mergeCell ref="A35:D3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28415+1100 - (18057+1100)</f>
        <v>10358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(104782+218) + 464 + 1357</f>
        <v>106821</v>
      </c>
    </row>
    <row r="3">
      <c r="A3" s="14" t="s">
        <v>358</v>
      </c>
      <c r="B3" s="14" t="s">
        <v>52</v>
      </c>
      <c r="C3" s="14" t="s">
        <v>359</v>
      </c>
      <c r="D3" s="8">
        <f>K18</f>
        <v>5172</v>
      </c>
      <c r="E3" s="38"/>
      <c r="G3" s="65"/>
      <c r="H3" s="66" t="s">
        <v>269</v>
      </c>
    </row>
    <row r="4">
      <c r="A4" s="14" t="s">
        <v>326</v>
      </c>
      <c r="B4" s="14" t="s">
        <v>24</v>
      </c>
      <c r="C4" s="14" t="s">
        <v>360</v>
      </c>
      <c r="D4" s="14">
        <v>1179.0</v>
      </c>
      <c r="E4" s="14"/>
      <c r="G4" s="68"/>
      <c r="H4" s="66" t="s">
        <v>206</v>
      </c>
      <c r="K4" s="4" t="s">
        <v>13</v>
      </c>
      <c r="L4" s="23">
        <f>L1 + L2</f>
        <v>117179</v>
      </c>
    </row>
    <row r="5">
      <c r="A5" s="64" t="s">
        <v>199</v>
      </c>
      <c r="B5" s="64" t="s">
        <v>200</v>
      </c>
      <c r="C5" s="14" t="s">
        <v>360</v>
      </c>
      <c r="D5" s="67">
        <f>11538+11767</f>
        <v>23305</v>
      </c>
      <c r="E5" s="14"/>
      <c r="G5" s="69"/>
      <c r="H5" s="66" t="s">
        <v>7</v>
      </c>
      <c r="K5" s="39" t="s">
        <v>114</v>
      </c>
      <c r="L5" s="13">
        <f>L4 - (D32)</f>
        <v>13329</v>
      </c>
    </row>
    <row r="6">
      <c r="A6" s="64" t="s">
        <v>201</v>
      </c>
      <c r="B6" s="64" t="s">
        <v>200</v>
      </c>
      <c r="C6" s="14" t="s">
        <v>360</v>
      </c>
      <c r="D6" s="67">
        <v>11056.0</v>
      </c>
      <c r="E6" s="14"/>
      <c r="G6" s="71"/>
      <c r="H6" s="66" t="s">
        <v>183</v>
      </c>
      <c r="K6" s="39" t="s">
        <v>117</v>
      </c>
      <c r="L6" s="34">
        <f>L5 - D68 + (SUMIFS(D14:D37, B14:B37, "=TEMP"))</f>
        <v>10145</v>
      </c>
    </row>
    <row r="7">
      <c r="A7" s="64" t="s">
        <v>146</v>
      </c>
      <c r="B7" s="64" t="s">
        <v>24</v>
      </c>
      <c r="C7" s="14" t="s">
        <v>360</v>
      </c>
      <c r="D7" s="64">
        <f>2659</f>
        <v>2659</v>
      </c>
      <c r="E7" s="14"/>
      <c r="G7" s="92"/>
      <c r="H7" s="66" t="s">
        <v>205</v>
      </c>
    </row>
    <row r="8">
      <c r="A8" s="75" t="s">
        <v>196</v>
      </c>
      <c r="B8" s="75" t="s">
        <v>8</v>
      </c>
      <c r="C8" s="14" t="s">
        <v>360</v>
      </c>
      <c r="D8" s="75">
        <v>500.0</v>
      </c>
      <c r="E8" s="14"/>
      <c r="F8" s="45"/>
      <c r="G8" s="128"/>
      <c r="H8" s="66" t="s">
        <v>277</v>
      </c>
    </row>
    <row r="9">
      <c r="A9" s="106" t="s">
        <v>323</v>
      </c>
      <c r="B9" s="106" t="s">
        <v>48</v>
      </c>
      <c r="C9" s="14" t="s">
        <v>360</v>
      </c>
      <c r="D9" s="106">
        <v>3150.0</v>
      </c>
      <c r="E9" s="14"/>
      <c r="F9" s="45"/>
      <c r="K9" s="14" t="s">
        <v>51</v>
      </c>
      <c r="L9" s="14">
        <v>2500.0</v>
      </c>
    </row>
    <row r="10">
      <c r="A10" s="111" t="s">
        <v>270</v>
      </c>
      <c r="B10" s="111" t="s">
        <v>48</v>
      </c>
      <c r="C10" s="14" t="s">
        <v>360</v>
      </c>
      <c r="D10" s="111">
        <v>2500.0</v>
      </c>
      <c r="E10" s="14"/>
    </row>
    <row r="11">
      <c r="A11" s="70" t="s">
        <v>10</v>
      </c>
      <c r="B11" s="70" t="s">
        <v>140</v>
      </c>
      <c r="C11" s="14" t="s">
        <v>360</v>
      </c>
      <c r="D11" s="70">
        <v>5000.0</v>
      </c>
      <c r="E11" s="14"/>
    </row>
    <row r="12">
      <c r="A12" s="111" t="s">
        <v>264</v>
      </c>
      <c r="B12" s="111" t="s">
        <v>48</v>
      </c>
      <c r="C12" s="85" t="s">
        <v>361</v>
      </c>
      <c r="D12" s="113">
        <v>3434.0</v>
      </c>
      <c r="E12" s="14"/>
      <c r="F12" s="45"/>
    </row>
    <row r="13">
      <c r="A13" s="14" t="s">
        <v>362</v>
      </c>
      <c r="B13" s="14" t="s">
        <v>24</v>
      </c>
      <c r="C13" s="135">
        <v>45329.0</v>
      </c>
      <c r="D13" s="14">
        <v>155.0</v>
      </c>
      <c r="E13" s="14"/>
      <c r="F13" s="45"/>
      <c r="G13" s="136" t="s">
        <v>363</v>
      </c>
      <c r="L13" s="8">
        <f>SUM(9195+7069+4557)-3000-5000</f>
        <v>12821</v>
      </c>
    </row>
    <row r="14">
      <c r="G14" s="44" t="s">
        <v>364</v>
      </c>
      <c r="H14" s="44" t="s">
        <v>365</v>
      </c>
      <c r="I14" s="44" t="s">
        <v>366</v>
      </c>
      <c r="L14" s="118"/>
    </row>
    <row r="15">
      <c r="G15" s="14" t="s">
        <v>260</v>
      </c>
      <c r="I15" s="8">
        <f>(81+100+39 +126 + 95+120+30+280+30+20+110+120+300+252+73+60+50+113+100+115)</f>
        <v>2214</v>
      </c>
      <c r="L15" s="8">
        <f>SUM(L6+L13)</f>
        <v>22966</v>
      </c>
    </row>
    <row r="16">
      <c r="A16" s="106" t="s">
        <v>277</v>
      </c>
      <c r="B16" s="106" t="s">
        <v>48</v>
      </c>
      <c r="C16" s="127" t="s">
        <v>268</v>
      </c>
      <c r="D16" s="106">
        <v>20000.0</v>
      </c>
      <c r="E16" s="14"/>
      <c r="G16" s="14" t="s">
        <v>367</v>
      </c>
      <c r="I16" s="8">
        <f>(50 + 41 + 41+41+56+41+47+41+41+41+ 41+62+41+56+70+41+73+41+75)</f>
        <v>940</v>
      </c>
    </row>
    <row r="17">
      <c r="A17" s="64" t="s">
        <v>368</v>
      </c>
      <c r="B17" s="64" t="s">
        <v>200</v>
      </c>
      <c r="C17" s="85" t="s">
        <v>268</v>
      </c>
      <c r="D17" s="67">
        <v>3367.0</v>
      </c>
      <c r="E17" s="14"/>
      <c r="G17" s="14" t="s">
        <v>369</v>
      </c>
      <c r="I17" s="8">
        <f>(15+20+15+15+10+10+15+10+20+15+10+20+10+25)</f>
        <v>210</v>
      </c>
    </row>
    <row r="18">
      <c r="A18" s="122" t="s">
        <v>60</v>
      </c>
      <c r="B18" s="122" t="s">
        <v>24</v>
      </c>
      <c r="C18" s="124" t="s">
        <v>268</v>
      </c>
      <c r="D18" s="134">
        <f>SUM(1357)</f>
        <v>1357</v>
      </c>
      <c r="G18" s="14" t="s">
        <v>275</v>
      </c>
      <c r="I18" s="14">
        <v>1000.0</v>
      </c>
      <c r="J18" s="14" t="s">
        <v>349</v>
      </c>
      <c r="K18" s="8">
        <f>SUM(I15:I32)</f>
        <v>5172</v>
      </c>
    </row>
    <row r="19">
      <c r="A19" s="64" t="s">
        <v>115</v>
      </c>
      <c r="B19" s="64" t="s">
        <v>116</v>
      </c>
      <c r="C19" s="85" t="s">
        <v>268</v>
      </c>
      <c r="D19" s="64">
        <v>10000.0</v>
      </c>
      <c r="E19" s="14"/>
      <c r="G19" s="14" t="s">
        <v>95</v>
      </c>
      <c r="I19" s="14">
        <v>-230.0</v>
      </c>
    </row>
    <row r="20">
      <c r="A20" s="14" t="s">
        <v>206</v>
      </c>
      <c r="B20" s="14" t="s">
        <v>140</v>
      </c>
      <c r="C20" s="137" t="s">
        <v>268</v>
      </c>
      <c r="D20" s="14">
        <v>8250.0</v>
      </c>
      <c r="G20" s="14" t="s">
        <v>243</v>
      </c>
      <c r="I20" s="14">
        <f>(328+20)</f>
        <v>348</v>
      </c>
    </row>
    <row r="21">
      <c r="A21" s="64" t="s">
        <v>146</v>
      </c>
      <c r="B21" s="64" t="s">
        <v>24</v>
      </c>
      <c r="C21" s="85" t="s">
        <v>268</v>
      </c>
      <c r="D21" s="64">
        <v>648.0</v>
      </c>
      <c r="G21" s="14" t="s">
        <v>293</v>
      </c>
      <c r="I21" s="14">
        <v>129.0</v>
      </c>
    </row>
    <row r="22">
      <c r="A22" s="14" t="s">
        <v>370</v>
      </c>
      <c r="B22" s="14" t="s">
        <v>24</v>
      </c>
      <c r="C22" s="138">
        <v>45511.0</v>
      </c>
      <c r="D22" s="14">
        <v>29.0</v>
      </c>
      <c r="G22" s="14" t="s">
        <v>371</v>
      </c>
      <c r="I22" s="14">
        <v>105.0</v>
      </c>
    </row>
    <row r="23">
      <c r="A23" s="36" t="s">
        <v>372</v>
      </c>
      <c r="B23" s="36" t="s">
        <v>24</v>
      </c>
      <c r="C23" s="139">
        <v>45542.0</v>
      </c>
      <c r="D23" s="140">
        <v>1000.0</v>
      </c>
      <c r="G23" s="14" t="s">
        <v>197</v>
      </c>
      <c r="I23" s="14">
        <f>(100+100)</f>
        <v>200</v>
      </c>
    </row>
    <row r="24">
      <c r="A24" s="14" t="s">
        <v>373</v>
      </c>
      <c r="B24" s="14" t="s">
        <v>48</v>
      </c>
      <c r="D24" s="14">
        <v>900.0</v>
      </c>
      <c r="G24" s="14" t="s">
        <v>374</v>
      </c>
      <c r="I24" s="8">
        <f>(230+150)</f>
        <v>380</v>
      </c>
    </row>
    <row r="25">
      <c r="G25" s="14" t="s">
        <v>375</v>
      </c>
      <c r="I25" s="14">
        <v>-124.0</v>
      </c>
    </row>
    <row r="26">
      <c r="A26" s="106" t="s">
        <v>376</v>
      </c>
      <c r="B26" s="106" t="s">
        <v>24</v>
      </c>
      <c r="C26" s="107"/>
      <c r="D26" s="106">
        <v>189.0</v>
      </c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103850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(700-(D13 + D26))</f>
        <v>356</v>
      </c>
      <c r="E37" s="14"/>
    </row>
    <row r="38">
      <c r="E38" s="14"/>
    </row>
    <row r="39">
      <c r="A39" s="14" t="s">
        <v>307</v>
      </c>
      <c r="B39" s="14" t="s">
        <v>52</v>
      </c>
      <c r="C39" s="14" t="s">
        <v>268</v>
      </c>
      <c r="D39" s="14">
        <f>(8000 - D3)</f>
        <v>2828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SUM(D37:D60)</f>
        <v>3184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1722+1275</f>
        <v>2997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(104782+1187)</f>
        <v>105969</v>
      </c>
    </row>
    <row r="3">
      <c r="A3" s="14" t="s">
        <v>363</v>
      </c>
      <c r="B3" s="14" t="s">
        <v>52</v>
      </c>
      <c r="C3" s="14" t="s">
        <v>377</v>
      </c>
      <c r="D3" s="8">
        <f>K18</f>
        <v>4808</v>
      </c>
      <c r="E3" s="38"/>
      <c r="G3" s="65"/>
      <c r="H3" s="66" t="s">
        <v>269</v>
      </c>
    </row>
    <row r="4">
      <c r="A4" s="14" t="s">
        <v>378</v>
      </c>
      <c r="C4" s="14" t="s">
        <v>379</v>
      </c>
      <c r="D4" s="14">
        <v>2460.0</v>
      </c>
      <c r="E4" s="14"/>
      <c r="G4" s="68"/>
      <c r="H4" s="66" t="s">
        <v>206</v>
      </c>
      <c r="K4" s="4" t="s">
        <v>13</v>
      </c>
      <c r="L4" s="23">
        <f>L1 + L2</f>
        <v>108966</v>
      </c>
    </row>
    <row r="5">
      <c r="A5" s="106" t="s">
        <v>277</v>
      </c>
      <c r="B5" s="106" t="s">
        <v>48</v>
      </c>
      <c r="C5" s="14" t="s">
        <v>380</v>
      </c>
      <c r="D5" s="106">
        <v>20000.0</v>
      </c>
      <c r="E5" s="14"/>
      <c r="G5" s="69"/>
      <c r="H5" s="66" t="s">
        <v>7</v>
      </c>
      <c r="K5" s="39" t="s">
        <v>114</v>
      </c>
      <c r="L5" s="13">
        <f>L4 - (D32)</f>
        <v>5105</v>
      </c>
    </row>
    <row r="6">
      <c r="A6" s="14" t="s">
        <v>381</v>
      </c>
      <c r="B6" s="14" t="s">
        <v>48</v>
      </c>
      <c r="C6" s="14" t="s">
        <v>382</v>
      </c>
      <c r="D6" s="14">
        <v>500.0</v>
      </c>
      <c r="E6" s="14"/>
      <c r="G6" s="71"/>
      <c r="H6" s="66" t="s">
        <v>183</v>
      </c>
      <c r="K6" s="39" t="s">
        <v>117</v>
      </c>
      <c r="L6" s="34">
        <f>L5 - D68 + (SUMIFS(D14:D37, B14:B37, "=TEMP"))</f>
        <v>15986</v>
      </c>
    </row>
    <row r="7">
      <c r="A7" s="14" t="s">
        <v>383</v>
      </c>
      <c r="C7" s="14" t="s">
        <v>384</v>
      </c>
      <c r="D7" s="14">
        <v>1040.0</v>
      </c>
      <c r="E7" s="14"/>
      <c r="G7" s="92"/>
      <c r="H7" s="66" t="s">
        <v>205</v>
      </c>
    </row>
    <row r="8">
      <c r="A8" s="106" t="s">
        <v>323</v>
      </c>
      <c r="B8" s="106" t="s">
        <v>48</v>
      </c>
      <c r="C8" s="14" t="s">
        <v>385</v>
      </c>
      <c r="D8" s="106">
        <v>3150.0</v>
      </c>
      <c r="E8" s="14"/>
      <c r="F8" s="45"/>
      <c r="G8" s="128"/>
      <c r="H8" s="66" t="s">
        <v>277</v>
      </c>
    </row>
    <row r="9">
      <c r="A9" s="111" t="s">
        <v>270</v>
      </c>
      <c r="B9" s="111" t="s">
        <v>48</v>
      </c>
      <c r="C9" s="14" t="s">
        <v>386</v>
      </c>
      <c r="D9" s="111">
        <v>2500.0</v>
      </c>
      <c r="E9" s="14"/>
      <c r="F9" s="45"/>
      <c r="K9" s="14" t="s">
        <v>51</v>
      </c>
      <c r="L9" s="14">
        <v>2500.0</v>
      </c>
    </row>
    <row r="10">
      <c r="A10" s="70" t="s">
        <v>10</v>
      </c>
      <c r="B10" s="70" t="s">
        <v>140</v>
      </c>
      <c r="C10" s="14" t="s">
        <v>387</v>
      </c>
      <c r="D10" s="70">
        <v>5000.0</v>
      </c>
      <c r="E10" s="14"/>
    </row>
    <row r="11">
      <c r="A11" s="64" t="s">
        <v>146</v>
      </c>
      <c r="B11" s="64" t="s">
        <v>24</v>
      </c>
      <c r="C11" s="14" t="s">
        <v>388</v>
      </c>
      <c r="D11" s="64">
        <f>4055</f>
        <v>4055</v>
      </c>
      <c r="E11" s="14"/>
    </row>
    <row r="12">
      <c r="A12" s="75" t="s">
        <v>196</v>
      </c>
      <c r="B12" s="75" t="s">
        <v>8</v>
      </c>
      <c r="C12" s="14" t="s">
        <v>389</v>
      </c>
      <c r="D12" s="75">
        <v>500.0</v>
      </c>
      <c r="E12" s="14"/>
      <c r="F12" s="45"/>
    </row>
    <row r="13">
      <c r="A13" s="64" t="s">
        <v>199</v>
      </c>
      <c r="B13" s="64" t="s">
        <v>200</v>
      </c>
      <c r="C13" s="14" t="s">
        <v>360</v>
      </c>
      <c r="D13" s="67">
        <v>10256.0</v>
      </c>
      <c r="E13" s="14"/>
      <c r="F13" s="45"/>
      <c r="G13" s="136" t="s">
        <v>363</v>
      </c>
      <c r="L13" s="8">
        <f>SUM(9195+7069+4557)-3000-5000</f>
        <v>12821</v>
      </c>
    </row>
    <row r="14">
      <c r="A14" s="14" t="s">
        <v>205</v>
      </c>
      <c r="B14" s="14" t="s">
        <v>92</v>
      </c>
      <c r="C14" s="14" t="s">
        <v>390</v>
      </c>
      <c r="D14" s="14">
        <f>19157-4384</f>
        <v>14773</v>
      </c>
      <c r="G14" s="44" t="s">
        <v>364</v>
      </c>
      <c r="H14" s="44" t="s">
        <v>365</v>
      </c>
      <c r="I14" s="44" t="s">
        <v>366</v>
      </c>
      <c r="L14" s="118"/>
    </row>
    <row r="15">
      <c r="A15" s="79" t="s">
        <v>47</v>
      </c>
      <c r="B15" s="75" t="s">
        <v>48</v>
      </c>
      <c r="C15" s="14" t="s">
        <v>391</v>
      </c>
      <c r="D15" s="75">
        <v>4000.0</v>
      </c>
      <c r="G15" s="14" t="s">
        <v>260</v>
      </c>
      <c r="I15" s="8">
        <f>(40+100+90+80)</f>
        <v>310</v>
      </c>
      <c r="L15" s="8">
        <f>SUM(L6+L13)</f>
        <v>28807</v>
      </c>
    </row>
    <row r="16">
      <c r="A16" s="75" t="s">
        <v>7</v>
      </c>
      <c r="B16" s="75" t="s">
        <v>7</v>
      </c>
      <c r="C16" s="14" t="s">
        <v>392</v>
      </c>
      <c r="D16" s="75">
        <v>3000.0</v>
      </c>
      <c r="E16" s="14"/>
      <c r="G16" s="14" t="s">
        <v>393</v>
      </c>
      <c r="I16" s="8">
        <f>(168+139 + 97 + 68+168+139+112+112+10+73+136+168+100+136+129+119+139)</f>
        <v>2013</v>
      </c>
    </row>
    <row r="17">
      <c r="A17" s="64" t="s">
        <v>201</v>
      </c>
      <c r="B17" s="64" t="s">
        <v>200</v>
      </c>
      <c r="C17" s="14" t="s">
        <v>394</v>
      </c>
      <c r="D17" s="67">
        <v>8089.0</v>
      </c>
      <c r="E17" s="14"/>
      <c r="G17" s="14" t="s">
        <v>367</v>
      </c>
      <c r="I17" s="14">
        <f>150+60+80+60+50</f>
        <v>400</v>
      </c>
    </row>
    <row r="18">
      <c r="A18" s="111" t="s">
        <v>264</v>
      </c>
      <c r="B18" s="111" t="s">
        <v>48</v>
      </c>
      <c r="C18" s="85" t="s">
        <v>361</v>
      </c>
      <c r="D18" s="113">
        <v>2837.0</v>
      </c>
      <c r="G18" s="14" t="s">
        <v>369</v>
      </c>
      <c r="I18" s="14">
        <f>(15+15+10+15+40+10+15)</f>
        <v>120</v>
      </c>
      <c r="J18" s="14" t="s">
        <v>349</v>
      </c>
      <c r="K18" s="8">
        <f>SUM(I15:I32)</f>
        <v>4808</v>
      </c>
    </row>
    <row r="19">
      <c r="A19" s="14" t="s">
        <v>326</v>
      </c>
      <c r="B19" s="14" t="s">
        <v>24</v>
      </c>
      <c r="C19" s="14" t="s">
        <v>360</v>
      </c>
      <c r="D19" s="14">
        <f>1357</f>
        <v>1357</v>
      </c>
      <c r="E19" s="14"/>
      <c r="G19" s="14" t="s">
        <v>275</v>
      </c>
    </row>
    <row r="20">
      <c r="A20" s="64" t="s">
        <v>115</v>
      </c>
      <c r="B20" s="64" t="s">
        <v>116</v>
      </c>
      <c r="C20" s="85" t="s">
        <v>268</v>
      </c>
      <c r="D20" s="64">
        <v>10000.0</v>
      </c>
      <c r="G20" s="14" t="s">
        <v>95</v>
      </c>
      <c r="I20" s="8">
        <f>(300+40+110+47)</f>
        <v>497</v>
      </c>
    </row>
    <row r="21">
      <c r="A21" s="64" t="s">
        <v>146</v>
      </c>
      <c r="B21" s="64" t="s">
        <v>24</v>
      </c>
      <c r="C21" s="85" t="s">
        <v>268</v>
      </c>
      <c r="D21" s="64">
        <v>678.0</v>
      </c>
      <c r="G21" s="14" t="s">
        <v>243</v>
      </c>
      <c r="I21" s="14">
        <f>406+210+206</f>
        <v>822</v>
      </c>
    </row>
    <row r="22">
      <c r="A22" s="64" t="s">
        <v>368</v>
      </c>
      <c r="B22" s="64" t="s">
        <v>200</v>
      </c>
      <c r="C22" s="85" t="s">
        <v>268</v>
      </c>
      <c r="D22" s="67">
        <v>4858.0</v>
      </c>
      <c r="G22" s="14" t="s">
        <v>293</v>
      </c>
      <c r="I22" s="8">
        <f>10+86</f>
        <v>96</v>
      </c>
    </row>
    <row r="23">
      <c r="A23" s="36"/>
      <c r="B23" s="36"/>
      <c r="C23" s="139"/>
      <c r="D23" s="140"/>
      <c r="G23" s="14" t="s">
        <v>371</v>
      </c>
    </row>
    <row r="24">
      <c r="G24" s="14" t="s">
        <v>197</v>
      </c>
      <c r="I24" s="8">
        <f>100</f>
        <v>100</v>
      </c>
    </row>
    <row r="25">
      <c r="G25" s="14" t="s">
        <v>229</v>
      </c>
      <c r="I25" s="14">
        <v>450.0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103861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(700)</f>
        <v>700</v>
      </c>
      <c r="E37" s="14"/>
    </row>
    <row r="38">
      <c r="A38" s="14" t="s">
        <v>307</v>
      </c>
      <c r="B38" s="14" t="s">
        <v>52</v>
      </c>
      <c r="C38" s="14" t="s">
        <v>268</v>
      </c>
      <c r="D38" s="14">
        <f>8000-D3</f>
        <v>3192</v>
      </c>
      <c r="E38" s="14"/>
    </row>
    <row r="50">
      <c r="E50" s="88"/>
    </row>
    <row r="54">
      <c r="A54" s="106"/>
      <c r="B54" s="106"/>
      <c r="C54" s="127"/>
      <c r="D54" s="141"/>
      <c r="H54" s="14"/>
    </row>
    <row r="55">
      <c r="E55" s="14"/>
    </row>
    <row r="68">
      <c r="C68" s="8" t="s">
        <v>39</v>
      </c>
      <c r="D68" s="19">
        <f>SUM(D37:D65)</f>
        <v>3892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(106042+5616)</f>
        <v>111658</v>
      </c>
    </row>
    <row r="3">
      <c r="A3" s="64" t="s">
        <v>201</v>
      </c>
      <c r="B3" s="64" t="s">
        <v>200</v>
      </c>
      <c r="C3" s="85" t="s">
        <v>268</v>
      </c>
      <c r="D3" s="67">
        <v>13109.0</v>
      </c>
      <c r="E3" s="38"/>
      <c r="G3" s="65"/>
      <c r="H3" s="66" t="s">
        <v>269</v>
      </c>
    </row>
    <row r="4">
      <c r="A4" s="64" t="s">
        <v>199</v>
      </c>
      <c r="B4" s="64" t="s">
        <v>200</v>
      </c>
      <c r="C4" s="85" t="s">
        <v>268</v>
      </c>
      <c r="D4" s="67">
        <v>13030.0</v>
      </c>
      <c r="E4" s="14"/>
      <c r="G4" s="68"/>
      <c r="H4" s="66" t="s">
        <v>206</v>
      </c>
      <c r="K4" s="4" t="s">
        <v>13</v>
      </c>
      <c r="L4" s="23">
        <f>L1 + L2</f>
        <v>111658</v>
      </c>
    </row>
    <row r="5">
      <c r="A5" s="14" t="s">
        <v>326</v>
      </c>
      <c r="B5" s="14" t="s">
        <v>24</v>
      </c>
      <c r="C5" s="85" t="s">
        <v>268</v>
      </c>
      <c r="D5" s="14">
        <f>1357</f>
        <v>1357</v>
      </c>
      <c r="E5" s="14"/>
      <c r="G5" s="69"/>
      <c r="H5" s="66" t="s">
        <v>7</v>
      </c>
      <c r="K5" s="39" t="s">
        <v>114</v>
      </c>
      <c r="L5" s="13">
        <f>L4 - (D32)</f>
        <v>-2115</v>
      </c>
    </row>
    <row r="6">
      <c r="A6" s="64" t="s">
        <v>146</v>
      </c>
      <c r="B6" s="64" t="s">
        <v>24</v>
      </c>
      <c r="C6" s="85" t="s">
        <v>268</v>
      </c>
      <c r="D6" s="64">
        <f>4055+768</f>
        <v>4823</v>
      </c>
      <c r="E6" s="14"/>
      <c r="G6" s="71"/>
      <c r="H6" s="66" t="s">
        <v>183</v>
      </c>
      <c r="K6" s="39" t="s">
        <v>117</v>
      </c>
      <c r="L6" s="142">
        <f>L5 - D68 + (SUMIFS(D14:D37, B14:B37, "=TEMP"))</f>
        <v>-8777</v>
      </c>
    </row>
    <row r="7">
      <c r="A7" s="143" t="s">
        <v>323</v>
      </c>
      <c r="B7" s="143" t="s">
        <v>200</v>
      </c>
      <c r="C7" s="144" t="s">
        <v>268</v>
      </c>
      <c r="D7" s="145">
        <v>3150.0</v>
      </c>
      <c r="E7" s="14"/>
      <c r="G7" s="92"/>
      <c r="H7" s="66" t="s">
        <v>205</v>
      </c>
    </row>
    <row r="8">
      <c r="A8" s="146" t="s">
        <v>395</v>
      </c>
      <c r="B8" s="146" t="s">
        <v>48</v>
      </c>
      <c r="C8" s="144" t="s">
        <v>268</v>
      </c>
      <c r="D8" s="147">
        <v>2500.0</v>
      </c>
      <c r="E8" s="14"/>
      <c r="F8" s="45"/>
      <c r="G8" s="128"/>
      <c r="H8" s="66" t="s">
        <v>277</v>
      </c>
    </row>
    <row r="9">
      <c r="A9" s="148" t="s">
        <v>10</v>
      </c>
      <c r="B9" s="148" t="s">
        <v>140</v>
      </c>
      <c r="C9" s="144" t="s">
        <v>268</v>
      </c>
      <c r="D9" s="149">
        <v>5000.0</v>
      </c>
      <c r="E9" s="14"/>
      <c r="F9" s="45"/>
    </row>
    <row r="10">
      <c r="A10" s="106" t="s">
        <v>277</v>
      </c>
      <c r="B10" s="106" t="s">
        <v>48</v>
      </c>
      <c r="C10" s="85" t="s">
        <v>268</v>
      </c>
      <c r="D10" s="106">
        <v>20540.0</v>
      </c>
      <c r="E10" s="14"/>
    </row>
    <row r="11">
      <c r="A11" s="14" t="s">
        <v>378</v>
      </c>
      <c r="B11" s="14" t="s">
        <v>200</v>
      </c>
      <c r="C11" s="85" t="s">
        <v>268</v>
      </c>
      <c r="D11" s="14">
        <v>2460.0</v>
      </c>
      <c r="E11" s="14"/>
    </row>
    <row r="12">
      <c r="A12" s="79" t="s">
        <v>47</v>
      </c>
      <c r="B12" s="75" t="s">
        <v>48</v>
      </c>
      <c r="C12" s="85" t="s">
        <v>268</v>
      </c>
      <c r="D12" s="75">
        <v>4000.0</v>
      </c>
      <c r="F12" s="45"/>
    </row>
    <row r="13">
      <c r="A13" s="75" t="s">
        <v>7</v>
      </c>
      <c r="B13" s="75" t="s">
        <v>7</v>
      </c>
      <c r="C13" s="85" t="s">
        <v>268</v>
      </c>
      <c r="D13" s="75">
        <v>4000.0</v>
      </c>
      <c r="E13" s="14"/>
      <c r="F13" s="45"/>
      <c r="G13" s="136" t="s">
        <v>363</v>
      </c>
    </row>
    <row r="14">
      <c r="A14" s="111" t="s">
        <v>264</v>
      </c>
      <c r="B14" s="111" t="s">
        <v>200</v>
      </c>
      <c r="C14" s="85" t="s">
        <v>268</v>
      </c>
      <c r="D14" s="113">
        <v>2837.0</v>
      </c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346</v>
      </c>
      <c r="B15" s="14" t="s">
        <v>52</v>
      </c>
      <c r="C15" s="14" t="s">
        <v>268</v>
      </c>
      <c r="D15" s="8">
        <f>I32</f>
        <v>2038</v>
      </c>
      <c r="G15" s="14" t="s">
        <v>260</v>
      </c>
      <c r="L15" s="8">
        <f>SUM(L6+L13)</f>
        <v>-8777</v>
      </c>
    </row>
    <row r="16">
      <c r="A16" s="150" t="s">
        <v>196</v>
      </c>
      <c r="B16" s="150" t="s">
        <v>48</v>
      </c>
      <c r="C16" s="144" t="s">
        <v>268</v>
      </c>
      <c r="D16" s="151">
        <v>500.0</v>
      </c>
      <c r="E16" s="14"/>
      <c r="G16" s="14" t="s">
        <v>393</v>
      </c>
    </row>
    <row r="17">
      <c r="A17" s="14" t="s">
        <v>95</v>
      </c>
      <c r="D17" s="14">
        <v>3520.0</v>
      </c>
      <c r="E17" s="14"/>
      <c r="G17" s="14" t="s">
        <v>367</v>
      </c>
    </row>
    <row r="18">
      <c r="A18" s="64" t="s">
        <v>115</v>
      </c>
      <c r="B18" s="64" t="s">
        <v>116</v>
      </c>
      <c r="C18" s="85" t="s">
        <v>268</v>
      </c>
      <c r="D18" s="64">
        <v>20000.0</v>
      </c>
      <c r="G18" s="14" t="s">
        <v>369</v>
      </c>
    </row>
    <row r="19">
      <c r="A19" s="64" t="s">
        <v>368</v>
      </c>
      <c r="B19" s="64" t="s">
        <v>200</v>
      </c>
      <c r="C19" s="85" t="s">
        <v>268</v>
      </c>
      <c r="D19" s="67">
        <v>5909.0</v>
      </c>
      <c r="E19" s="14"/>
      <c r="G19" s="14" t="s">
        <v>275</v>
      </c>
    </row>
    <row r="20">
      <c r="A20" s="14" t="s">
        <v>396</v>
      </c>
      <c r="D20" s="14">
        <v>5000.0</v>
      </c>
      <c r="G20" s="14" t="s">
        <v>95</v>
      </c>
    </row>
    <row r="21">
      <c r="A21" s="106"/>
      <c r="B21" s="106"/>
      <c r="C21" s="127"/>
      <c r="D21" s="106"/>
      <c r="G21" s="14" t="s">
        <v>243</v>
      </c>
    </row>
    <row r="22">
      <c r="A22" s="107"/>
      <c r="B22" s="107"/>
      <c r="C22" s="152"/>
      <c r="D22" s="107"/>
      <c r="G22" s="14" t="s">
        <v>293</v>
      </c>
    </row>
    <row r="23">
      <c r="A23" s="36"/>
      <c r="B23" s="36"/>
      <c r="C23" s="139"/>
      <c r="D23" s="140"/>
      <c r="G23" s="14" t="s">
        <v>371</v>
      </c>
      <c r="I23" s="8">
        <f>1650+388</f>
        <v>2038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113773</v>
      </c>
      <c r="G32" s="33" t="s">
        <v>349</v>
      </c>
      <c r="H32" s="153"/>
      <c r="I32" s="154">
        <f>SUM(I15:I30)</f>
        <v>2038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(700)</f>
        <v>700</v>
      </c>
      <c r="E37" s="14"/>
    </row>
    <row r="38">
      <c r="A38" s="14" t="s">
        <v>307</v>
      </c>
      <c r="B38" s="14" t="s">
        <v>52</v>
      </c>
      <c r="C38" s="85" t="s">
        <v>268</v>
      </c>
      <c r="D38" s="14">
        <f>8000-D15</f>
        <v>5962</v>
      </c>
    </row>
    <row r="47">
      <c r="A47" s="106"/>
      <c r="B47" s="106"/>
      <c r="C47" s="85"/>
      <c r="D47" s="106"/>
    </row>
    <row r="48">
      <c r="A48" s="64"/>
      <c r="B48" s="64"/>
      <c r="C48" s="85"/>
      <c r="D48" s="64"/>
    </row>
    <row r="49">
      <c r="A49" s="111"/>
      <c r="B49" s="111"/>
      <c r="C49" s="85"/>
      <c r="D49" s="111"/>
    </row>
    <row r="50">
      <c r="A50" s="70"/>
      <c r="B50" s="70"/>
      <c r="C50" s="85"/>
      <c r="D50" s="70"/>
      <c r="E50" s="88"/>
    </row>
    <row r="51">
      <c r="A51" s="75"/>
      <c r="B51" s="75"/>
      <c r="C51" s="85"/>
      <c r="D51" s="75"/>
    </row>
    <row r="54">
      <c r="H54" s="14"/>
    </row>
    <row r="55">
      <c r="E55" s="14"/>
    </row>
    <row r="68">
      <c r="C68" s="8" t="s">
        <v>39</v>
      </c>
      <c r="D68" s="19">
        <f>SUM(D37:D65)</f>
        <v>6662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1954</f>
        <v>1954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(107708+128+1357)</f>
        <v>109193</v>
      </c>
    </row>
    <row r="3">
      <c r="A3" s="14" t="s">
        <v>346</v>
      </c>
      <c r="B3" s="14" t="s">
        <v>52</v>
      </c>
      <c r="C3" s="14" t="s">
        <v>268</v>
      </c>
      <c r="D3" s="8">
        <f>I32</f>
        <v>6341.5</v>
      </c>
      <c r="E3" s="38"/>
      <c r="G3" s="65"/>
      <c r="H3" s="66" t="s">
        <v>269</v>
      </c>
    </row>
    <row r="4">
      <c r="A4" s="64" t="s">
        <v>199</v>
      </c>
      <c r="B4" s="64" t="s">
        <v>200</v>
      </c>
      <c r="C4" s="85" t="s">
        <v>268</v>
      </c>
      <c r="D4" s="67">
        <v>12223.0</v>
      </c>
      <c r="E4" s="14"/>
      <c r="G4" s="68"/>
      <c r="H4" s="66" t="s">
        <v>206</v>
      </c>
      <c r="K4" s="4" t="s">
        <v>13</v>
      </c>
      <c r="L4" s="23">
        <f>L1 + L2</f>
        <v>111147</v>
      </c>
    </row>
    <row r="5">
      <c r="A5" s="64" t="s">
        <v>201</v>
      </c>
      <c r="B5" s="64" t="s">
        <v>200</v>
      </c>
      <c r="C5" s="85" t="s">
        <v>268</v>
      </c>
      <c r="D5" s="67">
        <v>4772.0</v>
      </c>
      <c r="E5" s="14"/>
      <c r="G5" s="69"/>
      <c r="H5" s="66" t="s">
        <v>7</v>
      </c>
      <c r="K5" s="39" t="s">
        <v>114</v>
      </c>
      <c r="L5" s="13">
        <f>L4 - (D32)</f>
        <v>7226.5</v>
      </c>
    </row>
    <row r="6">
      <c r="A6" s="64" t="s">
        <v>264</v>
      </c>
      <c r="B6" s="64" t="s">
        <v>200</v>
      </c>
      <c r="C6" s="85" t="s">
        <v>268</v>
      </c>
      <c r="D6" s="67">
        <v>2818.0</v>
      </c>
      <c r="E6" s="14"/>
      <c r="G6" s="71"/>
      <c r="H6" s="66" t="s">
        <v>183</v>
      </c>
      <c r="K6" s="39" t="s">
        <v>117</v>
      </c>
      <c r="L6" s="142">
        <f>L5 - D68 + (SUMIFS(D16:D36, B16:B36, "=TEMP"))</f>
        <v>1568</v>
      </c>
    </row>
    <row r="7">
      <c r="A7" s="64" t="s">
        <v>146</v>
      </c>
      <c r="B7" s="64" t="s">
        <v>24</v>
      </c>
      <c r="C7" s="85" t="s">
        <v>268</v>
      </c>
      <c r="D7" s="64">
        <f>4054</f>
        <v>4054</v>
      </c>
      <c r="E7" s="14"/>
      <c r="G7" s="92"/>
      <c r="H7" s="66" t="s">
        <v>205</v>
      </c>
    </row>
    <row r="8">
      <c r="A8" s="155" t="s">
        <v>326</v>
      </c>
      <c r="B8" s="155" t="s">
        <v>24</v>
      </c>
      <c r="C8" s="156" t="s">
        <v>268</v>
      </c>
      <c r="D8" s="155">
        <f>1357+1179</f>
        <v>2536</v>
      </c>
      <c r="E8" s="14"/>
      <c r="F8" s="45"/>
      <c r="G8" s="128"/>
      <c r="H8" s="66" t="s">
        <v>277</v>
      </c>
    </row>
    <row r="9">
      <c r="A9" s="79" t="s">
        <v>47</v>
      </c>
      <c r="B9" s="75" t="s">
        <v>48</v>
      </c>
      <c r="C9" s="85" t="s">
        <v>268</v>
      </c>
      <c r="D9" s="75">
        <v>6000.0</v>
      </c>
      <c r="E9" s="14"/>
      <c r="F9" s="45"/>
    </row>
    <row r="10">
      <c r="A10" s="75" t="s">
        <v>7</v>
      </c>
      <c r="B10" s="75" t="s">
        <v>7</v>
      </c>
      <c r="C10" s="85" t="s">
        <v>268</v>
      </c>
      <c r="D10" s="75">
        <v>4000.0</v>
      </c>
      <c r="E10" s="14"/>
    </row>
    <row r="11">
      <c r="A11" s="14" t="s">
        <v>378</v>
      </c>
      <c r="C11" s="85" t="s">
        <v>268</v>
      </c>
      <c r="D11" s="14">
        <f>2460-2350</f>
        <v>110</v>
      </c>
      <c r="E11" s="14"/>
    </row>
    <row r="12">
      <c r="A12" s="106" t="s">
        <v>277</v>
      </c>
      <c r="B12" s="106" t="s">
        <v>48</v>
      </c>
      <c r="C12" s="85" t="s">
        <v>268</v>
      </c>
      <c r="D12" s="106">
        <v>20000.0</v>
      </c>
      <c r="E12" s="14"/>
      <c r="F12" s="45"/>
    </row>
    <row r="13">
      <c r="A13" s="106" t="s">
        <v>323</v>
      </c>
      <c r="B13" s="106" t="s">
        <v>48</v>
      </c>
      <c r="C13" s="85" t="s">
        <v>268</v>
      </c>
      <c r="D13" s="106">
        <v>3150.0</v>
      </c>
      <c r="E13" s="14"/>
      <c r="F13" s="45"/>
      <c r="G13" s="136" t="s">
        <v>363</v>
      </c>
    </row>
    <row r="14">
      <c r="A14" s="111" t="s">
        <v>270</v>
      </c>
      <c r="B14" s="111" t="s">
        <v>48</v>
      </c>
      <c r="C14" s="85" t="s">
        <v>268</v>
      </c>
      <c r="D14" s="111">
        <v>2500.0</v>
      </c>
      <c r="G14" s="44" t="s">
        <v>364</v>
      </c>
      <c r="H14" s="44" t="s">
        <v>365</v>
      </c>
      <c r="I14" s="44" t="s">
        <v>366</v>
      </c>
      <c r="L14" s="118"/>
    </row>
    <row r="15">
      <c r="A15" s="70" t="s">
        <v>10</v>
      </c>
      <c r="B15" s="70" t="s">
        <v>140</v>
      </c>
      <c r="C15" s="85" t="s">
        <v>268</v>
      </c>
      <c r="D15" s="70">
        <v>5000.0</v>
      </c>
      <c r="G15" s="14" t="s">
        <v>260</v>
      </c>
      <c r="I15" s="8">
        <f>50+100+825+100+230</f>
        <v>1305</v>
      </c>
      <c r="L15" s="8">
        <f>SUM(L6+L13)</f>
        <v>1568</v>
      </c>
    </row>
    <row r="16">
      <c r="A16" s="75" t="s">
        <v>196</v>
      </c>
      <c r="B16" s="75" t="s">
        <v>8</v>
      </c>
      <c r="C16" s="85" t="s">
        <v>268</v>
      </c>
      <c r="D16" s="75">
        <v>500.0</v>
      </c>
      <c r="E16" s="14"/>
      <c r="G16" s="14" t="s">
        <v>393</v>
      </c>
      <c r="I16" s="14">
        <f>112+146+57+50+90+89</f>
        <v>544</v>
      </c>
    </row>
    <row r="17">
      <c r="A17" s="14" t="s">
        <v>64</v>
      </c>
      <c r="B17" s="14" t="s">
        <v>52</v>
      </c>
      <c r="C17" s="14" t="s">
        <v>268</v>
      </c>
      <c r="D17" s="14">
        <v>900.0</v>
      </c>
      <c r="E17" s="14"/>
      <c r="G17" s="14" t="s">
        <v>367</v>
      </c>
      <c r="I17" s="8">
        <f>41+88+41+41+41+200+220+108+105</f>
        <v>885</v>
      </c>
    </row>
    <row r="18">
      <c r="A18" s="14" t="s">
        <v>267</v>
      </c>
      <c r="B18" s="14" t="s">
        <v>94</v>
      </c>
      <c r="C18" s="14" t="s">
        <v>268</v>
      </c>
      <c r="D18" s="14">
        <v>1100.0</v>
      </c>
      <c r="G18" s="14" t="s">
        <v>369</v>
      </c>
      <c r="I18" s="8">
        <f>15+20+100+18</f>
        <v>153</v>
      </c>
    </row>
    <row r="19">
      <c r="A19" s="64" t="s">
        <v>368</v>
      </c>
      <c r="B19" s="64" t="s">
        <v>200</v>
      </c>
      <c r="C19" s="85" t="s">
        <v>268</v>
      </c>
      <c r="D19" s="67">
        <v>5172.0</v>
      </c>
      <c r="E19" s="14"/>
      <c r="G19" s="14" t="s">
        <v>275</v>
      </c>
    </row>
    <row r="20">
      <c r="A20" s="64" t="s">
        <v>115</v>
      </c>
      <c r="B20" s="64" t="s">
        <v>116</v>
      </c>
      <c r="C20" s="85" t="s">
        <v>268</v>
      </c>
      <c r="D20" s="64">
        <v>20000.0</v>
      </c>
      <c r="G20" s="14" t="s">
        <v>95</v>
      </c>
      <c r="I20" s="8">
        <f>231</f>
        <v>231</v>
      </c>
    </row>
    <row r="21">
      <c r="A21" s="64" t="s">
        <v>146</v>
      </c>
      <c r="B21" s="64" t="s">
        <v>24</v>
      </c>
      <c r="C21" s="85" t="s">
        <v>268</v>
      </c>
      <c r="D21" s="64">
        <v>715.0</v>
      </c>
      <c r="G21" s="14" t="s">
        <v>243</v>
      </c>
      <c r="I21" s="8">
        <f>197+50+23</f>
        <v>270</v>
      </c>
    </row>
    <row r="22">
      <c r="A22" s="106" t="s">
        <v>397</v>
      </c>
      <c r="B22" s="106" t="s">
        <v>24</v>
      </c>
      <c r="C22" s="106" t="s">
        <v>268</v>
      </c>
      <c r="D22" s="106">
        <v>29.0</v>
      </c>
      <c r="G22" s="14" t="s">
        <v>293</v>
      </c>
    </row>
    <row r="23">
      <c r="A23" s="35" t="s">
        <v>160</v>
      </c>
      <c r="B23" s="35" t="s">
        <v>398</v>
      </c>
      <c r="C23" s="139"/>
      <c r="D23" s="38">
        <v>2000.0</v>
      </c>
      <c r="G23" s="14" t="s">
        <v>399</v>
      </c>
      <c r="I23" s="14">
        <v>1257.5</v>
      </c>
    </row>
    <row r="24">
      <c r="G24" s="14" t="s">
        <v>197</v>
      </c>
      <c r="I24" s="8">
        <f>100+100</f>
        <v>200</v>
      </c>
    </row>
    <row r="25">
      <c r="G25" s="14" t="s">
        <v>229</v>
      </c>
      <c r="I25" s="14">
        <v>400.0</v>
      </c>
    </row>
    <row r="26">
      <c r="A26" s="106"/>
      <c r="B26" s="106"/>
      <c r="C26" s="107"/>
      <c r="D26" s="106"/>
      <c r="G26" s="14" t="s">
        <v>400</v>
      </c>
      <c r="I26" s="8">
        <f>77+19</f>
        <v>96</v>
      </c>
    </row>
    <row r="27">
      <c r="A27" s="107"/>
      <c r="B27" s="107"/>
      <c r="C27" s="108"/>
      <c r="D27" s="107"/>
      <c r="E27" s="84"/>
      <c r="G27" s="14" t="s">
        <v>401</v>
      </c>
      <c r="I27" s="14">
        <v>1000.0</v>
      </c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103920.5</v>
      </c>
      <c r="G32" s="33" t="s">
        <v>349</v>
      </c>
      <c r="H32" s="153"/>
      <c r="I32" s="154">
        <f>SUM(I15:I30)</f>
        <v>6341.5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14" t="s">
        <v>307</v>
      </c>
      <c r="B37" s="14" t="s">
        <v>52</v>
      </c>
      <c r="C37" s="85" t="s">
        <v>268</v>
      </c>
      <c r="D37" s="14">
        <f>7000 - D3</f>
        <v>658.5</v>
      </c>
      <c r="E37" s="14"/>
    </row>
    <row r="38">
      <c r="A38" s="14" t="s">
        <v>402</v>
      </c>
      <c r="B38" s="14" t="s">
        <v>48</v>
      </c>
      <c r="C38" s="14" t="s">
        <v>268</v>
      </c>
      <c r="D38" s="14">
        <v>5000.0</v>
      </c>
      <c r="E38" s="14"/>
    </row>
    <row r="39">
      <c r="A39" s="14" t="s">
        <v>403</v>
      </c>
      <c r="B39" s="14" t="s">
        <v>8</v>
      </c>
      <c r="C39" s="14" t="s">
        <v>268</v>
      </c>
    </row>
    <row r="46">
      <c r="D46" s="14" t="s">
        <v>404</v>
      </c>
    </row>
    <row r="50">
      <c r="E50" s="88"/>
    </row>
    <row r="54">
      <c r="A54" s="106"/>
      <c r="B54" s="106"/>
      <c r="C54" s="127"/>
      <c r="D54" s="141"/>
      <c r="H54" s="14"/>
    </row>
    <row r="55">
      <c r="E55" s="14"/>
    </row>
    <row r="68">
      <c r="C68" s="8" t="s">
        <v>39</v>
      </c>
      <c r="D68" s="19">
        <f>SUM(D37:D65)</f>
        <v>5658.5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2660+7226</f>
        <v>9886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(106869+1357)</f>
        <v>108226</v>
      </c>
    </row>
    <row r="3">
      <c r="A3" s="75" t="s">
        <v>7</v>
      </c>
      <c r="B3" s="75" t="s">
        <v>7</v>
      </c>
      <c r="C3" s="85" t="s">
        <v>268</v>
      </c>
      <c r="D3" s="75">
        <f>2700+5000</f>
        <v>7700</v>
      </c>
      <c r="E3" s="38"/>
      <c r="G3" s="65"/>
      <c r="H3" s="66" t="s">
        <v>269</v>
      </c>
    </row>
    <row r="4">
      <c r="A4" s="64" t="s">
        <v>115</v>
      </c>
      <c r="B4" s="64" t="s">
        <v>116</v>
      </c>
      <c r="C4" s="85" t="s">
        <v>268</v>
      </c>
      <c r="D4" s="14">
        <v>20000.0</v>
      </c>
      <c r="E4" s="14"/>
      <c r="G4" s="68"/>
      <c r="H4" s="66" t="s">
        <v>206</v>
      </c>
      <c r="K4" s="4" t="s">
        <v>13</v>
      </c>
      <c r="L4" s="23">
        <f>L1 + L2</f>
        <v>118112</v>
      </c>
    </row>
    <row r="5">
      <c r="A5" s="64" t="s">
        <v>199</v>
      </c>
      <c r="B5" s="64" t="s">
        <v>200</v>
      </c>
      <c r="C5" s="85" t="s">
        <v>268</v>
      </c>
      <c r="D5" s="67">
        <v>10727.0</v>
      </c>
      <c r="E5" s="14"/>
      <c r="G5" s="69"/>
      <c r="H5" s="66" t="s">
        <v>7</v>
      </c>
      <c r="K5" s="39" t="s">
        <v>114</v>
      </c>
      <c r="L5" s="13">
        <f>L4 - (D32)</f>
        <v>6542</v>
      </c>
    </row>
    <row r="6">
      <c r="A6" s="157" t="s">
        <v>201</v>
      </c>
      <c r="B6" s="157" t="s">
        <v>200</v>
      </c>
      <c r="C6" s="157" t="s">
        <v>268</v>
      </c>
      <c r="D6" s="158">
        <v>12214.0</v>
      </c>
      <c r="E6" s="14"/>
      <c r="G6" s="71"/>
      <c r="H6" s="66" t="s">
        <v>183</v>
      </c>
      <c r="K6" s="39" t="s">
        <v>117</v>
      </c>
      <c r="L6" s="142">
        <f>L5 - D68 + (SUMIFS(D14:D37, B14:B37, "=TEMP"))</f>
        <v>5221</v>
      </c>
    </row>
    <row r="7">
      <c r="A7" s="111" t="s">
        <v>264</v>
      </c>
      <c r="B7" s="111" t="s">
        <v>200</v>
      </c>
      <c r="C7" s="85" t="s">
        <v>268</v>
      </c>
      <c r="D7" s="113">
        <v>2798.0</v>
      </c>
      <c r="E7" s="14"/>
      <c r="G7" s="92"/>
      <c r="H7" s="66" t="s">
        <v>205</v>
      </c>
    </row>
    <row r="8">
      <c r="A8" s="64" t="s">
        <v>146</v>
      </c>
      <c r="B8" s="64" t="s">
        <v>24</v>
      </c>
      <c r="C8" s="85" t="s">
        <v>268</v>
      </c>
      <c r="D8" s="64">
        <f>2509+500</f>
        <v>3009</v>
      </c>
      <c r="E8" s="14"/>
      <c r="F8" s="45"/>
      <c r="G8" s="128"/>
      <c r="H8" s="66" t="s">
        <v>277</v>
      </c>
    </row>
    <row r="9">
      <c r="A9" s="14" t="s">
        <v>326</v>
      </c>
      <c r="B9" s="14" t="s">
        <v>24</v>
      </c>
      <c r="C9" s="85" t="s">
        <v>268</v>
      </c>
      <c r="D9" s="14">
        <f>1357+297</f>
        <v>1654</v>
      </c>
      <c r="E9" s="14"/>
      <c r="F9" s="45"/>
    </row>
    <row r="10">
      <c r="A10" s="159" t="s">
        <v>64</v>
      </c>
      <c r="B10" s="159" t="s">
        <v>116</v>
      </c>
      <c r="C10" s="159" t="s">
        <v>268</v>
      </c>
      <c r="D10" s="160">
        <v>4000.0</v>
      </c>
      <c r="E10" s="14"/>
    </row>
    <row r="11">
      <c r="A11" s="75" t="s">
        <v>196</v>
      </c>
      <c r="B11" s="75" t="s">
        <v>8</v>
      </c>
      <c r="C11" s="85" t="s">
        <v>268</v>
      </c>
      <c r="D11" s="75">
        <v>500.0</v>
      </c>
      <c r="E11" s="14"/>
    </row>
    <row r="12">
      <c r="A12" s="94" t="s">
        <v>378</v>
      </c>
      <c r="B12" s="94" t="s">
        <v>8</v>
      </c>
      <c r="C12" s="161" t="s">
        <v>268</v>
      </c>
      <c r="D12" s="94">
        <v>2460.0</v>
      </c>
      <c r="E12" s="14"/>
      <c r="F12" s="45"/>
    </row>
    <row r="13">
      <c r="A13" s="106" t="s">
        <v>277</v>
      </c>
      <c r="B13" s="106" t="s">
        <v>48</v>
      </c>
      <c r="C13" s="85" t="s">
        <v>268</v>
      </c>
      <c r="D13" s="106">
        <v>20000.0</v>
      </c>
      <c r="E13" s="14"/>
      <c r="F13" s="45"/>
      <c r="G13" s="136" t="s">
        <v>405</v>
      </c>
    </row>
    <row r="14">
      <c r="A14" s="94" t="s">
        <v>323</v>
      </c>
      <c r="B14" s="94" t="s">
        <v>48</v>
      </c>
      <c r="C14" s="161" t="s">
        <v>268</v>
      </c>
      <c r="D14" s="94">
        <v>3150.0</v>
      </c>
      <c r="G14" s="44" t="s">
        <v>364</v>
      </c>
      <c r="H14" s="44" t="s">
        <v>365</v>
      </c>
      <c r="I14" s="44" t="s">
        <v>366</v>
      </c>
      <c r="L14" s="118"/>
    </row>
    <row r="15">
      <c r="A15" s="70" t="s">
        <v>10</v>
      </c>
      <c r="B15" s="70" t="s">
        <v>140</v>
      </c>
      <c r="C15" s="85" t="s">
        <v>268</v>
      </c>
      <c r="D15" s="70">
        <v>5000.0</v>
      </c>
      <c r="G15" s="14" t="s">
        <v>260</v>
      </c>
      <c r="I15" s="8">
        <f>210+220+440+1000+48+150+30+15</f>
        <v>2113</v>
      </c>
      <c r="L15" s="8">
        <f>SUM(L6+L13)</f>
        <v>5221</v>
      </c>
    </row>
    <row r="16">
      <c r="A16" s="111" t="s">
        <v>270</v>
      </c>
      <c r="B16" s="111" t="s">
        <v>48</v>
      </c>
      <c r="C16" s="85" t="s">
        <v>268</v>
      </c>
      <c r="D16" s="111">
        <v>2500.0</v>
      </c>
      <c r="E16" s="14"/>
      <c r="G16" s="14" t="s">
        <v>393</v>
      </c>
    </row>
    <row r="17">
      <c r="A17" s="14" t="s">
        <v>406</v>
      </c>
      <c r="B17" s="14" t="s">
        <v>52</v>
      </c>
      <c r="C17" s="14" t="s">
        <v>268</v>
      </c>
      <c r="D17" s="8">
        <f>I32</f>
        <v>3679</v>
      </c>
      <c r="E17" s="14"/>
      <c r="G17" s="14" t="s">
        <v>367</v>
      </c>
    </row>
    <row r="18">
      <c r="A18" s="14" t="s">
        <v>407</v>
      </c>
      <c r="B18" s="14" t="s">
        <v>408</v>
      </c>
      <c r="C18" s="14" t="s">
        <v>268</v>
      </c>
      <c r="D18" s="14">
        <v>1000.0</v>
      </c>
      <c r="G18" s="14" t="s">
        <v>369</v>
      </c>
    </row>
    <row r="19">
      <c r="A19" s="14" t="s">
        <v>409</v>
      </c>
      <c r="B19" s="14" t="s">
        <v>408</v>
      </c>
      <c r="C19" s="14" t="s">
        <v>268</v>
      </c>
      <c r="D19" s="14">
        <v>4500.0</v>
      </c>
      <c r="E19" s="14"/>
      <c r="G19" s="14" t="s">
        <v>275</v>
      </c>
    </row>
    <row r="20">
      <c r="A20" s="106" t="s">
        <v>51</v>
      </c>
      <c r="B20" s="107"/>
      <c r="C20" s="107"/>
      <c r="D20" s="106">
        <f>699+15</f>
        <v>714</v>
      </c>
      <c r="G20" s="14" t="s">
        <v>95</v>
      </c>
      <c r="I20" s="8">
        <f>80+981</f>
        <v>1061</v>
      </c>
    </row>
    <row r="21">
      <c r="A21" s="64" t="s">
        <v>368</v>
      </c>
      <c r="B21" s="64" t="s">
        <v>200</v>
      </c>
      <c r="C21" s="85" t="s">
        <v>268</v>
      </c>
      <c r="D21" s="67">
        <v>5936.0</v>
      </c>
      <c r="G21" s="14" t="s">
        <v>243</v>
      </c>
    </row>
    <row r="22">
      <c r="A22" s="14" t="s">
        <v>410</v>
      </c>
      <c r="B22" s="14" t="s">
        <v>24</v>
      </c>
      <c r="C22" s="14" t="s">
        <v>268</v>
      </c>
      <c r="D22" s="14">
        <v>29.0</v>
      </c>
      <c r="G22" s="14" t="s">
        <v>293</v>
      </c>
    </row>
    <row r="23">
      <c r="A23" s="36"/>
      <c r="B23" s="36"/>
      <c r="C23" s="139"/>
      <c r="D23" s="140"/>
      <c r="G23" s="14" t="s">
        <v>371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411</v>
      </c>
      <c r="I26" s="14">
        <v>450.0</v>
      </c>
    </row>
    <row r="27">
      <c r="A27" s="107"/>
      <c r="B27" s="107"/>
      <c r="C27" s="108"/>
      <c r="D27" s="107"/>
      <c r="E27" s="84"/>
      <c r="G27" s="14" t="s">
        <v>7</v>
      </c>
      <c r="I27" s="14">
        <v>55.0</v>
      </c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111570</v>
      </c>
      <c r="G32" s="33" t="s">
        <v>349</v>
      </c>
      <c r="H32" s="153"/>
      <c r="I32" s="154">
        <f>SUM(I15:I30)</f>
        <v>3679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/>
      <c r="E37" s="14"/>
    </row>
    <row r="38">
      <c r="A38" s="14" t="s">
        <v>307</v>
      </c>
      <c r="B38" s="14" t="s">
        <v>52</v>
      </c>
      <c r="C38" s="85" t="s">
        <v>268</v>
      </c>
      <c r="D38" s="14">
        <f>5000-D17</f>
        <v>1321</v>
      </c>
      <c r="E38" s="14"/>
    </row>
    <row r="39">
      <c r="I39" s="8">
        <f>D14+D15+D13+D12</f>
        <v>30610</v>
      </c>
    </row>
    <row r="41">
      <c r="C41" s="85"/>
    </row>
    <row r="42">
      <c r="D42" s="64"/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1321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3938+1874</f>
        <v>5812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(107586)</f>
        <v>107586</v>
      </c>
    </row>
    <row r="3">
      <c r="A3" s="64" t="s">
        <v>199</v>
      </c>
      <c r="B3" s="64" t="s">
        <v>200</v>
      </c>
      <c r="C3" s="85" t="s">
        <v>268</v>
      </c>
      <c r="D3" s="67">
        <v>12673.0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5695.0</v>
      </c>
      <c r="E4" s="14"/>
      <c r="G4" s="68"/>
      <c r="H4" s="66" t="s">
        <v>206</v>
      </c>
      <c r="K4" s="4" t="s">
        <v>13</v>
      </c>
      <c r="L4" s="23">
        <f>L1 + L2</f>
        <v>113398</v>
      </c>
    </row>
    <row r="5">
      <c r="A5" s="64" t="s">
        <v>146</v>
      </c>
      <c r="B5" s="64" t="s">
        <v>24</v>
      </c>
      <c r="C5" s="85" t="s">
        <v>268</v>
      </c>
      <c r="D5" s="64">
        <f>2509+240</f>
        <v>2749</v>
      </c>
      <c r="E5" s="14"/>
      <c r="G5" s="69"/>
      <c r="H5" s="66" t="s">
        <v>7</v>
      </c>
      <c r="K5" s="39" t="s">
        <v>114</v>
      </c>
      <c r="L5" s="13">
        <f>L4 - (D32)</f>
        <v>12730</v>
      </c>
    </row>
    <row r="6">
      <c r="A6" s="14" t="s">
        <v>378</v>
      </c>
      <c r="C6" s="85" t="s">
        <v>268</v>
      </c>
      <c r="D6" s="14">
        <v>2460.0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14930</v>
      </c>
    </row>
    <row r="7">
      <c r="A7" s="106" t="s">
        <v>277</v>
      </c>
      <c r="B7" s="106" t="s">
        <v>48</v>
      </c>
      <c r="C7" s="85" t="s">
        <v>268</v>
      </c>
      <c r="D7" s="106">
        <v>20000.0</v>
      </c>
      <c r="E7" s="14"/>
      <c r="G7" s="92"/>
      <c r="H7" s="66" t="s">
        <v>205</v>
      </c>
    </row>
    <row r="8">
      <c r="A8" s="75" t="s">
        <v>196</v>
      </c>
      <c r="B8" s="75" t="s">
        <v>8</v>
      </c>
      <c r="C8" s="85" t="s">
        <v>268</v>
      </c>
      <c r="D8" s="75">
        <v>500.0</v>
      </c>
      <c r="E8" s="14"/>
      <c r="F8" s="45"/>
      <c r="G8" s="128"/>
      <c r="H8" s="66" t="s">
        <v>277</v>
      </c>
    </row>
    <row r="9">
      <c r="A9" s="79" t="s">
        <v>47</v>
      </c>
      <c r="B9" s="75" t="s">
        <v>48</v>
      </c>
      <c r="C9" s="85" t="s">
        <v>268</v>
      </c>
      <c r="D9" s="75">
        <v>4000.0</v>
      </c>
      <c r="E9" s="14"/>
      <c r="F9" s="45"/>
    </row>
    <row r="10">
      <c r="A10" s="75" t="s">
        <v>7</v>
      </c>
      <c r="B10" s="75" t="s">
        <v>7</v>
      </c>
      <c r="C10" s="85" t="s">
        <v>268</v>
      </c>
      <c r="D10" s="75">
        <v>5000.0</v>
      </c>
      <c r="E10" s="14"/>
    </row>
    <row r="11">
      <c r="A11" s="106" t="s">
        <v>405</v>
      </c>
      <c r="B11" s="106" t="s">
        <v>52</v>
      </c>
      <c r="C11" s="106" t="s">
        <v>268</v>
      </c>
      <c r="D11" s="106">
        <f>I32</f>
        <v>1877</v>
      </c>
      <c r="E11" s="14"/>
    </row>
    <row r="12">
      <c r="A12" s="14" t="s">
        <v>326</v>
      </c>
      <c r="B12" s="14" t="s">
        <v>24</v>
      </c>
      <c r="C12" s="85" t="s">
        <v>268</v>
      </c>
      <c r="D12" s="14">
        <v>1357.0</v>
      </c>
      <c r="E12" s="14"/>
      <c r="F12" s="45"/>
    </row>
    <row r="13">
      <c r="A13" s="111" t="s">
        <v>270</v>
      </c>
      <c r="B13" s="111" t="s">
        <v>92</v>
      </c>
      <c r="C13" s="85" t="s">
        <v>268</v>
      </c>
      <c r="D13" s="111">
        <v>2500.0</v>
      </c>
      <c r="E13" s="14"/>
      <c r="F13" s="45"/>
      <c r="G13" s="136" t="s">
        <v>405</v>
      </c>
    </row>
    <row r="14">
      <c r="A14" s="70" t="s">
        <v>10</v>
      </c>
      <c r="B14" s="70" t="s">
        <v>140</v>
      </c>
      <c r="C14" s="85" t="s">
        <v>268</v>
      </c>
      <c r="D14" s="70">
        <v>5000.0</v>
      </c>
      <c r="G14" s="44" t="s">
        <v>364</v>
      </c>
      <c r="H14" s="44" t="s">
        <v>365</v>
      </c>
      <c r="I14" s="44" t="s">
        <v>366</v>
      </c>
      <c r="L14" s="118"/>
    </row>
    <row r="15">
      <c r="A15" s="111" t="s">
        <v>264</v>
      </c>
      <c r="B15" s="111" t="s">
        <v>200</v>
      </c>
      <c r="C15" s="85" t="s">
        <v>268</v>
      </c>
      <c r="D15" s="113">
        <v>2795.0</v>
      </c>
      <c r="G15" s="14" t="s">
        <v>260</v>
      </c>
      <c r="I15" s="14">
        <v>100.0</v>
      </c>
    </row>
    <row r="16">
      <c r="A16" s="64" t="s">
        <v>368</v>
      </c>
      <c r="B16" s="64" t="s">
        <v>200</v>
      </c>
      <c r="C16" s="85" t="s">
        <v>268</v>
      </c>
      <c r="D16" s="67">
        <v>1939.0</v>
      </c>
      <c r="E16" s="14"/>
      <c r="G16" s="14" t="s">
        <v>393</v>
      </c>
    </row>
    <row r="17">
      <c r="A17" s="14" t="s">
        <v>412</v>
      </c>
      <c r="B17" s="14" t="s">
        <v>48</v>
      </c>
      <c r="C17" s="14" t="s">
        <v>268</v>
      </c>
      <c r="D17" s="14">
        <v>2000.0</v>
      </c>
      <c r="E17" s="14"/>
      <c r="G17" s="14" t="s">
        <v>367</v>
      </c>
      <c r="I17" s="8">
        <f>41+55+213+211+880+125</f>
        <v>1525</v>
      </c>
    </row>
    <row r="18">
      <c r="A18" s="64" t="s">
        <v>115</v>
      </c>
      <c r="B18" s="64" t="s">
        <v>116</v>
      </c>
      <c r="C18" s="85" t="s">
        <v>268</v>
      </c>
      <c r="D18" s="64">
        <v>20000.0</v>
      </c>
      <c r="G18" s="14" t="s">
        <v>369</v>
      </c>
    </row>
    <row r="19">
      <c r="A19" s="14" t="s">
        <v>350</v>
      </c>
      <c r="B19" s="14" t="s">
        <v>48</v>
      </c>
      <c r="C19" s="14" t="s">
        <v>268</v>
      </c>
      <c r="D19" s="14">
        <v>6000.0</v>
      </c>
      <c r="E19" s="14"/>
      <c r="G19" s="14" t="s">
        <v>275</v>
      </c>
    </row>
    <row r="20">
      <c r="A20" s="14" t="s">
        <v>307</v>
      </c>
      <c r="B20" s="14" t="s">
        <v>52</v>
      </c>
      <c r="C20" s="85" t="s">
        <v>268</v>
      </c>
      <c r="D20" s="14">
        <f>6000 - D11</f>
        <v>4123</v>
      </c>
      <c r="G20" s="14" t="s">
        <v>95</v>
      </c>
      <c r="I20" s="8">
        <f>7</f>
        <v>7</v>
      </c>
    </row>
    <row r="21">
      <c r="A21" s="106"/>
      <c r="B21" s="106"/>
      <c r="C21" s="127"/>
      <c r="D21" s="106"/>
      <c r="G21" s="14" t="s">
        <v>243</v>
      </c>
    </row>
    <row r="22">
      <c r="A22" s="107"/>
      <c r="B22" s="107"/>
      <c r="C22" s="152"/>
      <c r="D22" s="107"/>
      <c r="G22" s="14" t="s">
        <v>293</v>
      </c>
      <c r="I22" s="14">
        <v>245.0</v>
      </c>
    </row>
    <row r="23">
      <c r="A23" s="36"/>
      <c r="B23" s="36"/>
      <c r="C23" s="139"/>
      <c r="D23" s="140"/>
      <c r="G23" s="14" t="s">
        <v>371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100668</v>
      </c>
      <c r="G32" s="33" t="s">
        <v>349</v>
      </c>
      <c r="H32" s="153"/>
      <c r="I32" s="154">
        <f>SUM(I15:I30)</f>
        <v>1877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300.0</v>
      </c>
      <c r="E37" s="14"/>
    </row>
    <row r="38">
      <c r="E38" s="14"/>
    </row>
    <row r="39">
      <c r="A39" s="64"/>
      <c r="B39" s="64"/>
      <c r="C39" s="85"/>
      <c r="D39" s="64"/>
    </row>
    <row r="40">
      <c r="A40" s="14" t="s">
        <v>326</v>
      </c>
      <c r="B40" s="14" t="s">
        <v>24</v>
      </c>
      <c r="C40" s="85" t="s">
        <v>268</v>
      </c>
      <c r="D40" s="14">
        <v>0.0</v>
      </c>
    </row>
    <row r="50">
      <c r="E50" s="88"/>
    </row>
    <row r="54">
      <c r="A54" s="106"/>
      <c r="B54" s="106"/>
      <c r="C54" s="127"/>
      <c r="D54" s="141"/>
      <c r="H54" s="14"/>
    </row>
    <row r="55">
      <c r="E55" s="14"/>
    </row>
    <row r="68">
      <c r="C68" s="8" t="s">
        <v>39</v>
      </c>
      <c r="D68" s="19">
        <f>SUM(D37:D65)</f>
        <v>300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/>
      <c r="B1" s="2"/>
      <c r="C1" s="2"/>
      <c r="D1" s="3"/>
      <c r="E1" s="56"/>
      <c r="K1" s="4" t="s">
        <v>1</v>
      </c>
      <c r="L1" s="41">
        <v>1667.0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101562.0</v>
      </c>
    </row>
    <row r="3">
      <c r="A3" s="64" t="s">
        <v>199</v>
      </c>
      <c r="B3" s="64" t="s">
        <v>200</v>
      </c>
      <c r="C3" s="85" t="s">
        <v>268</v>
      </c>
      <c r="D3" s="67">
        <v>10390.0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5668.0</v>
      </c>
      <c r="E4" s="14"/>
      <c r="G4" s="68"/>
      <c r="H4" s="66" t="s">
        <v>206</v>
      </c>
      <c r="K4" s="4" t="s">
        <v>13</v>
      </c>
      <c r="L4" s="23">
        <f>L1 + L2</f>
        <v>103229</v>
      </c>
    </row>
    <row r="5">
      <c r="A5" s="64" t="s">
        <v>146</v>
      </c>
      <c r="B5" s="64" t="s">
        <v>24</v>
      </c>
      <c r="C5" s="85" t="s">
        <v>268</v>
      </c>
      <c r="D5" s="64">
        <f>2509</f>
        <v>2509</v>
      </c>
      <c r="E5" s="14"/>
      <c r="G5" s="69"/>
      <c r="H5" s="66" t="s">
        <v>7</v>
      </c>
      <c r="K5" s="39" t="s">
        <v>114</v>
      </c>
      <c r="L5" s="13">
        <f>L4 - (D32)</f>
        <v>5069.2</v>
      </c>
    </row>
    <row r="6">
      <c r="A6" s="14" t="s">
        <v>326</v>
      </c>
      <c r="B6" s="14" t="s">
        <v>24</v>
      </c>
      <c r="C6" s="85" t="s">
        <v>268</v>
      </c>
      <c r="D6" s="14">
        <f>1357</f>
        <v>1357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998</v>
      </c>
    </row>
    <row r="7">
      <c r="A7" s="14" t="s">
        <v>378</v>
      </c>
      <c r="C7" s="85" t="s">
        <v>268</v>
      </c>
      <c r="D7" s="14">
        <v>2460.0</v>
      </c>
      <c r="E7" s="14"/>
      <c r="G7" s="92"/>
      <c r="H7" s="66" t="s">
        <v>205</v>
      </c>
    </row>
    <row r="8">
      <c r="A8" s="106" t="s">
        <v>277</v>
      </c>
      <c r="B8" s="106" t="s">
        <v>48</v>
      </c>
      <c r="C8" s="85" t="s">
        <v>268</v>
      </c>
      <c r="D8" s="106">
        <v>20000.0</v>
      </c>
      <c r="E8" s="14"/>
      <c r="F8" s="45"/>
      <c r="G8" s="128"/>
      <c r="H8" s="66" t="s">
        <v>277</v>
      </c>
    </row>
    <row r="9">
      <c r="A9" s="75" t="s">
        <v>196</v>
      </c>
      <c r="B9" s="75" t="s">
        <v>8</v>
      </c>
      <c r="C9" s="85" t="s">
        <v>268</v>
      </c>
      <c r="D9" s="75">
        <v>500.0</v>
      </c>
      <c r="E9" s="14"/>
      <c r="F9" s="45"/>
    </row>
    <row r="10">
      <c r="A10" s="79" t="s">
        <v>47</v>
      </c>
      <c r="B10" s="75" t="s">
        <v>48</v>
      </c>
      <c r="C10" s="85" t="s">
        <v>268</v>
      </c>
      <c r="D10" s="75">
        <v>4000.0</v>
      </c>
      <c r="E10" s="14"/>
    </row>
    <row r="11">
      <c r="A11" s="75" t="s">
        <v>7</v>
      </c>
      <c r="B11" s="75" t="s">
        <v>7</v>
      </c>
      <c r="C11" s="85" t="s">
        <v>268</v>
      </c>
      <c r="D11" s="75">
        <v>6000.0</v>
      </c>
      <c r="E11" s="14"/>
    </row>
    <row r="12">
      <c r="A12" s="111" t="s">
        <v>270</v>
      </c>
      <c r="B12" s="111" t="s">
        <v>92</v>
      </c>
      <c r="C12" s="85" t="s">
        <v>268</v>
      </c>
      <c r="D12" s="111">
        <v>2500.0</v>
      </c>
      <c r="E12" s="14"/>
      <c r="F12" s="45"/>
    </row>
    <row r="13">
      <c r="A13" s="70" t="s">
        <v>10</v>
      </c>
      <c r="B13" s="70" t="s">
        <v>140</v>
      </c>
      <c r="C13" s="85" t="s">
        <v>268</v>
      </c>
      <c r="D13" s="70">
        <v>5000.0</v>
      </c>
      <c r="E13" s="14"/>
      <c r="F13" s="45"/>
      <c r="G13" s="136" t="s">
        <v>405</v>
      </c>
    </row>
    <row r="14">
      <c r="A14" s="111" t="s">
        <v>264</v>
      </c>
      <c r="B14" s="111" t="s">
        <v>200</v>
      </c>
      <c r="C14" s="85" t="s">
        <v>268</v>
      </c>
      <c r="D14" s="113">
        <v>2785.0</v>
      </c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358</v>
      </c>
      <c r="B15" s="14" t="s">
        <v>52</v>
      </c>
      <c r="C15" s="14" t="s">
        <v>268</v>
      </c>
      <c r="D15" s="8">
        <f>I32</f>
        <v>2885.8</v>
      </c>
      <c r="G15" s="14" t="s">
        <v>260</v>
      </c>
    </row>
    <row r="16">
      <c r="A16" s="64" t="s">
        <v>368</v>
      </c>
      <c r="B16" s="64" t="s">
        <v>200</v>
      </c>
      <c r="C16" s="85" t="s">
        <v>268</v>
      </c>
      <c r="D16" s="67">
        <v>5232.0</v>
      </c>
      <c r="E16" s="14"/>
      <c r="G16" s="14" t="s">
        <v>393</v>
      </c>
      <c r="I16" s="8">
        <f>131+100+142</f>
        <v>373</v>
      </c>
    </row>
    <row r="17">
      <c r="A17" s="64" t="s">
        <v>115</v>
      </c>
      <c r="B17" s="64" t="s">
        <v>116</v>
      </c>
      <c r="C17" s="85" t="s">
        <v>268</v>
      </c>
      <c r="D17" s="64">
        <v>20000.0</v>
      </c>
      <c r="E17" s="14"/>
      <c r="G17" s="14" t="s">
        <v>367</v>
      </c>
      <c r="I17" s="8">
        <f>281+205+62+105+115+47+35+41</f>
        <v>891</v>
      </c>
    </row>
    <row r="18">
      <c r="A18" s="64" t="s">
        <v>146</v>
      </c>
      <c r="B18" s="64" t="s">
        <v>24</v>
      </c>
      <c r="C18" s="85" t="s">
        <v>268</v>
      </c>
      <c r="D18" s="64">
        <f>320</f>
        <v>320</v>
      </c>
      <c r="G18" s="14" t="s">
        <v>369</v>
      </c>
      <c r="I18" s="8">
        <f>(15*6)+20+30+117+20</f>
        <v>277</v>
      </c>
    </row>
    <row r="19">
      <c r="A19" s="64" t="s">
        <v>146</v>
      </c>
      <c r="B19" s="64" t="s">
        <v>24</v>
      </c>
      <c r="C19" s="85" t="s">
        <v>268</v>
      </c>
      <c r="D19" s="64">
        <f>451</f>
        <v>451</v>
      </c>
      <c r="E19" s="14"/>
      <c r="G19" s="14" t="s">
        <v>275</v>
      </c>
    </row>
    <row r="20">
      <c r="A20" s="14" t="s">
        <v>206</v>
      </c>
      <c r="B20" s="14" t="s">
        <v>140</v>
      </c>
      <c r="C20" s="127" t="s">
        <v>268</v>
      </c>
      <c r="D20" s="14">
        <f>3812+2290</f>
        <v>6102</v>
      </c>
      <c r="G20" s="14" t="s">
        <v>95</v>
      </c>
      <c r="I20" s="8">
        <f>120+100+52-0.36</f>
        <v>271.64</v>
      </c>
    </row>
    <row r="21">
      <c r="A21" s="106"/>
      <c r="B21" s="106"/>
      <c r="C21" s="127"/>
      <c r="D21" s="106"/>
      <c r="G21" s="14" t="s">
        <v>243</v>
      </c>
      <c r="I21" s="8">
        <f>310+10</f>
        <v>320</v>
      </c>
    </row>
    <row r="22">
      <c r="A22" s="107"/>
      <c r="B22" s="107"/>
      <c r="C22" s="152"/>
      <c r="D22" s="107"/>
      <c r="G22" s="14" t="s">
        <v>293</v>
      </c>
      <c r="I22" s="8">
        <f>413.16</f>
        <v>413.16</v>
      </c>
    </row>
    <row r="23">
      <c r="A23" s="36"/>
      <c r="B23" s="36"/>
      <c r="C23" s="139"/>
      <c r="D23" s="140"/>
      <c r="G23" s="14" t="s">
        <v>413</v>
      </c>
      <c r="I23" s="8">
        <f>240</f>
        <v>240</v>
      </c>
    </row>
    <row r="24">
      <c r="G24" s="14" t="s">
        <v>197</v>
      </c>
      <c r="I24" s="8">
        <f>100</f>
        <v>100</v>
      </c>
    </row>
    <row r="25">
      <c r="G25" s="14" t="s">
        <v>229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98159.8</v>
      </c>
      <c r="G32" s="33" t="s">
        <v>349</v>
      </c>
      <c r="H32" s="153"/>
      <c r="I32" s="154">
        <f>SUM(I15:I30)</f>
        <v>2885.8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300.0</v>
      </c>
      <c r="E37" s="14"/>
    </row>
    <row r="38">
      <c r="A38" s="14" t="s">
        <v>326</v>
      </c>
      <c r="B38" s="14" t="s">
        <v>24</v>
      </c>
      <c r="C38" s="85" t="s">
        <v>268</v>
      </c>
      <c r="D38" s="14">
        <f>1157</f>
        <v>1157</v>
      </c>
      <c r="E38" s="14"/>
    </row>
    <row r="39">
      <c r="A39" s="106" t="s">
        <v>405</v>
      </c>
      <c r="B39" s="106" t="s">
        <v>52</v>
      </c>
      <c r="C39" s="106" t="s">
        <v>268</v>
      </c>
      <c r="D39" s="106">
        <f>8000-D15</f>
        <v>5114.2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6571.2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1843.0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106303.0</v>
      </c>
    </row>
    <row r="3">
      <c r="A3" s="14" t="s">
        <v>326</v>
      </c>
      <c r="B3" s="14" t="s">
        <v>24</v>
      </c>
      <c r="C3" s="85" t="s">
        <v>268</v>
      </c>
      <c r="D3" s="14">
        <v>0.0</v>
      </c>
      <c r="E3" s="38"/>
      <c r="G3" s="65"/>
      <c r="H3" s="66" t="s">
        <v>269</v>
      </c>
    </row>
    <row r="4">
      <c r="A4" s="14" t="s">
        <v>405</v>
      </c>
      <c r="B4" s="14" t="s">
        <v>52</v>
      </c>
      <c r="C4" s="14" t="s">
        <v>268</v>
      </c>
      <c r="D4" s="8">
        <f>I32</f>
        <v>2675</v>
      </c>
      <c r="E4" s="14"/>
      <c r="G4" s="68"/>
      <c r="H4" s="66" t="s">
        <v>206</v>
      </c>
      <c r="K4" s="4" t="s">
        <v>13</v>
      </c>
      <c r="L4" s="23">
        <f>L1 + L2</f>
        <v>108146</v>
      </c>
    </row>
    <row r="5">
      <c r="A5" s="64" t="s">
        <v>199</v>
      </c>
      <c r="B5" s="64" t="s">
        <v>200</v>
      </c>
      <c r="C5" s="85" t="s">
        <v>268</v>
      </c>
      <c r="D5" s="67">
        <v>14151.0</v>
      </c>
      <c r="E5" s="14"/>
      <c r="G5" s="69"/>
      <c r="H5" s="66" t="s">
        <v>7</v>
      </c>
      <c r="K5" s="39" t="s">
        <v>114</v>
      </c>
      <c r="L5" s="13">
        <f>L4 - (D32)</f>
        <v>7808</v>
      </c>
    </row>
    <row r="6">
      <c r="A6" s="64" t="s">
        <v>146</v>
      </c>
      <c r="B6" s="64" t="s">
        <v>24</v>
      </c>
      <c r="C6" s="85" t="s">
        <v>268</v>
      </c>
      <c r="D6" s="64">
        <v>2295.0</v>
      </c>
      <c r="G6" s="71"/>
      <c r="H6" s="66" t="s">
        <v>183</v>
      </c>
      <c r="K6" s="39" t="s">
        <v>117</v>
      </c>
      <c r="L6" s="142">
        <f>L5 - D68 + (SUMIFS(D2:D30, B2:B30, "=TEMP"))</f>
        <v>5683</v>
      </c>
    </row>
    <row r="7">
      <c r="A7" s="14" t="s">
        <v>378</v>
      </c>
      <c r="C7" s="85" t="s">
        <v>268</v>
      </c>
      <c r="D7" s="14">
        <v>2460.0</v>
      </c>
      <c r="E7" s="14"/>
      <c r="G7" s="92"/>
      <c r="H7" s="66" t="s">
        <v>205</v>
      </c>
    </row>
    <row r="8">
      <c r="A8" s="106" t="s">
        <v>277</v>
      </c>
      <c r="B8" s="106" t="s">
        <v>48</v>
      </c>
      <c r="C8" s="85" t="s">
        <v>268</v>
      </c>
      <c r="D8" s="106">
        <v>20000.0</v>
      </c>
      <c r="E8" s="14"/>
      <c r="F8" s="45"/>
      <c r="G8" s="128"/>
      <c r="H8" s="66" t="s">
        <v>277</v>
      </c>
    </row>
    <row r="9">
      <c r="A9" s="64" t="s">
        <v>201</v>
      </c>
      <c r="B9" s="64" t="s">
        <v>200</v>
      </c>
      <c r="C9" s="85" t="s">
        <v>268</v>
      </c>
      <c r="D9" s="67">
        <v>9715.0</v>
      </c>
      <c r="E9" s="14"/>
      <c r="F9" s="45"/>
    </row>
    <row r="10">
      <c r="A10" s="111" t="s">
        <v>264</v>
      </c>
      <c r="B10" s="111" t="s">
        <v>200</v>
      </c>
      <c r="C10" s="85" t="s">
        <v>268</v>
      </c>
      <c r="D10" s="113">
        <v>2772.0</v>
      </c>
      <c r="E10" s="14"/>
    </row>
    <row r="11">
      <c r="A11" s="75" t="s">
        <v>196</v>
      </c>
      <c r="B11" s="75" t="s">
        <v>8</v>
      </c>
      <c r="C11" s="85" t="s">
        <v>268</v>
      </c>
      <c r="D11" s="75">
        <v>500.0</v>
      </c>
      <c r="E11" s="14"/>
    </row>
    <row r="12">
      <c r="A12" s="79" t="s">
        <v>47</v>
      </c>
      <c r="B12" s="75" t="s">
        <v>48</v>
      </c>
      <c r="C12" s="85" t="s">
        <v>268</v>
      </c>
      <c r="D12" s="75">
        <v>4000.0</v>
      </c>
      <c r="E12" s="14"/>
      <c r="F12" s="45"/>
    </row>
    <row r="13">
      <c r="A13" s="75" t="s">
        <v>7</v>
      </c>
      <c r="B13" s="75" t="s">
        <v>7</v>
      </c>
      <c r="C13" s="85" t="s">
        <v>268</v>
      </c>
      <c r="D13" s="75">
        <v>4000.0</v>
      </c>
      <c r="E13" s="14"/>
      <c r="F13" s="45"/>
      <c r="G13" s="136" t="s">
        <v>405</v>
      </c>
    </row>
    <row r="14">
      <c r="A14" s="111" t="s">
        <v>270</v>
      </c>
      <c r="B14" s="111" t="s">
        <v>92</v>
      </c>
      <c r="C14" s="85" t="s">
        <v>268</v>
      </c>
      <c r="D14" s="111">
        <v>2500.0</v>
      </c>
      <c r="G14" s="44" t="s">
        <v>364</v>
      </c>
      <c r="H14" s="44" t="s">
        <v>365</v>
      </c>
      <c r="I14" s="44" t="s">
        <v>366</v>
      </c>
      <c r="L14" s="118"/>
    </row>
    <row r="15">
      <c r="A15" s="70" t="s">
        <v>10</v>
      </c>
      <c r="B15" s="70" t="s">
        <v>140</v>
      </c>
      <c r="C15" s="85" t="s">
        <v>268</v>
      </c>
      <c r="D15" s="70">
        <v>1000.0</v>
      </c>
      <c r="G15" s="14" t="s">
        <v>277</v>
      </c>
      <c r="I15" s="14">
        <f>1680</f>
        <v>1680</v>
      </c>
    </row>
    <row r="16">
      <c r="A16" s="14" t="s">
        <v>414</v>
      </c>
      <c r="B16" s="14" t="s">
        <v>48</v>
      </c>
      <c r="C16" s="14" t="s">
        <v>51</v>
      </c>
      <c r="D16" s="14">
        <v>7000.0</v>
      </c>
      <c r="E16" s="14"/>
      <c r="G16" s="14" t="s">
        <v>393</v>
      </c>
    </row>
    <row r="17">
      <c r="A17" s="14" t="s">
        <v>415</v>
      </c>
      <c r="B17" s="14" t="s">
        <v>94</v>
      </c>
      <c r="C17" s="14" t="s">
        <v>268</v>
      </c>
      <c r="D17" s="14">
        <v>400.0</v>
      </c>
      <c r="E17" s="14"/>
      <c r="G17" s="14" t="s">
        <v>367</v>
      </c>
    </row>
    <row r="18">
      <c r="A18" s="64" t="s">
        <v>368</v>
      </c>
      <c r="B18" s="64" t="s">
        <v>200</v>
      </c>
      <c r="C18" s="14" t="s">
        <v>268</v>
      </c>
      <c r="D18" s="67">
        <v>6468.0</v>
      </c>
      <c r="G18" s="14" t="s">
        <v>369</v>
      </c>
    </row>
    <row r="19">
      <c r="A19" s="64" t="s">
        <v>115</v>
      </c>
      <c r="B19" s="64" t="s">
        <v>116</v>
      </c>
      <c r="C19" s="14" t="s">
        <v>268</v>
      </c>
      <c r="D19" s="64">
        <v>20000.0</v>
      </c>
      <c r="E19" s="14"/>
      <c r="G19" s="14" t="s">
        <v>275</v>
      </c>
    </row>
    <row r="20">
      <c r="A20" s="64" t="s">
        <v>146</v>
      </c>
      <c r="B20" s="64" t="s">
        <v>24</v>
      </c>
      <c r="C20" s="14" t="s">
        <v>268</v>
      </c>
      <c r="D20" s="64">
        <v>402.0</v>
      </c>
      <c r="G20" s="14" t="s">
        <v>95</v>
      </c>
      <c r="I20" s="14">
        <v>-5.0</v>
      </c>
    </row>
    <row r="21">
      <c r="A21" s="106"/>
      <c r="B21" s="106"/>
      <c r="C21" s="8"/>
      <c r="D21" s="106"/>
      <c r="G21" s="14" t="s">
        <v>243</v>
      </c>
    </row>
    <row r="22">
      <c r="A22" s="107"/>
      <c r="B22" s="107"/>
      <c r="C22" s="152"/>
      <c r="D22" s="107"/>
      <c r="G22" s="14" t="s">
        <v>293</v>
      </c>
    </row>
    <row r="23">
      <c r="A23" s="36"/>
      <c r="B23" s="36"/>
      <c r="C23" s="139"/>
      <c r="D23" s="140"/>
      <c r="G23" s="14" t="s">
        <v>413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51</v>
      </c>
      <c r="I26" s="14">
        <v>1000.0</v>
      </c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100338</v>
      </c>
      <c r="G32" s="33" t="s">
        <v>349</v>
      </c>
      <c r="H32" s="153"/>
      <c r="I32" s="154">
        <f>SUM(I15:I30)</f>
        <v>2675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300.0</v>
      </c>
      <c r="E37" s="14"/>
    </row>
    <row r="38">
      <c r="A38" s="106" t="s">
        <v>405</v>
      </c>
      <c r="B38" s="106" t="s">
        <v>52</v>
      </c>
      <c r="C38" s="106" t="s">
        <v>268</v>
      </c>
      <c r="D38" s="106">
        <f>7000-D4</f>
        <v>4325</v>
      </c>
      <c r="E38" s="14"/>
    </row>
    <row r="50">
      <c r="E50" s="88"/>
    </row>
    <row r="54">
      <c r="H54" s="14"/>
    </row>
    <row r="55">
      <c r="C55" s="127"/>
      <c r="E55" s="14"/>
    </row>
    <row r="68">
      <c r="C68" s="8" t="s">
        <v>39</v>
      </c>
      <c r="D68" s="19">
        <f>SUM(D37:D65)</f>
        <v>4625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ataValidations>
    <dataValidation type="list" allowBlank="1" showErrorMessage="1" sqref="C3:C21">
      <formula1>"Online,Cash"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1843.0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106303.0</v>
      </c>
    </row>
    <row r="3">
      <c r="A3" s="14" t="s">
        <v>326</v>
      </c>
      <c r="B3" s="14" t="s">
        <v>24</v>
      </c>
      <c r="C3" s="85" t="s">
        <v>268</v>
      </c>
      <c r="D3" s="14">
        <v>1357.0</v>
      </c>
      <c r="E3" s="38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10578.0</v>
      </c>
      <c r="E4" s="14"/>
      <c r="G4" s="68"/>
      <c r="H4" s="66" t="s">
        <v>206</v>
      </c>
      <c r="K4" s="4" t="s">
        <v>13</v>
      </c>
      <c r="L4" s="23">
        <f>L1 + L2</f>
        <v>108146</v>
      </c>
    </row>
    <row r="5">
      <c r="A5" s="64" t="s">
        <v>201</v>
      </c>
      <c r="B5" s="64" t="s">
        <v>200</v>
      </c>
      <c r="C5" s="85" t="s">
        <v>268</v>
      </c>
      <c r="D5" s="67">
        <v>5641.0</v>
      </c>
      <c r="E5" s="14"/>
      <c r="G5" s="69"/>
      <c r="H5" s="66" t="s">
        <v>7</v>
      </c>
      <c r="K5" s="39" t="s">
        <v>114</v>
      </c>
      <c r="L5" s="13">
        <f>L4 - (D32)</f>
        <v>12014</v>
      </c>
    </row>
    <row r="6">
      <c r="A6" s="111" t="s">
        <v>264</v>
      </c>
      <c r="B6" s="111" t="s">
        <v>200</v>
      </c>
      <c r="C6" s="85" t="s">
        <v>268</v>
      </c>
      <c r="D6" s="113">
        <v>2772.0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8214</v>
      </c>
    </row>
    <row r="7">
      <c r="A7" s="64" t="s">
        <v>146</v>
      </c>
      <c r="B7" s="64" t="s">
        <v>24</v>
      </c>
      <c r="C7" s="85" t="s">
        <v>268</v>
      </c>
      <c r="D7" s="64">
        <v>2295.0</v>
      </c>
      <c r="E7" s="14"/>
      <c r="G7" s="92"/>
      <c r="H7" s="66" t="s">
        <v>205</v>
      </c>
    </row>
    <row r="8">
      <c r="A8" s="64" t="s">
        <v>417</v>
      </c>
      <c r="B8" s="64" t="s">
        <v>200</v>
      </c>
      <c r="C8" s="85" t="s">
        <v>268</v>
      </c>
      <c r="D8" s="67">
        <v>9164.0</v>
      </c>
      <c r="E8" s="14"/>
      <c r="F8" s="45"/>
      <c r="G8" s="128"/>
      <c r="H8" s="66" t="s">
        <v>277</v>
      </c>
    </row>
    <row r="9">
      <c r="A9" s="64" t="s">
        <v>368</v>
      </c>
      <c r="B9" s="64" t="s">
        <v>200</v>
      </c>
      <c r="C9" s="85" t="s">
        <v>268</v>
      </c>
      <c r="D9" s="67">
        <v>3625.0</v>
      </c>
      <c r="E9" s="14"/>
      <c r="F9" s="45"/>
    </row>
    <row r="10">
      <c r="A10" s="106" t="s">
        <v>277</v>
      </c>
      <c r="B10" s="106" t="s">
        <v>48</v>
      </c>
      <c r="C10" s="85" t="s">
        <v>268</v>
      </c>
      <c r="D10" s="106">
        <v>25000.0</v>
      </c>
      <c r="E10" s="14"/>
    </row>
    <row r="11">
      <c r="A11" s="79" t="s">
        <v>47</v>
      </c>
      <c r="B11" s="75" t="s">
        <v>48</v>
      </c>
      <c r="C11" s="85" t="s">
        <v>268</v>
      </c>
      <c r="D11" s="75">
        <v>4000.0</v>
      </c>
      <c r="E11" s="14"/>
    </row>
    <row r="12">
      <c r="A12" s="75" t="s">
        <v>7</v>
      </c>
      <c r="B12" s="75" t="s">
        <v>7</v>
      </c>
      <c r="C12" s="14" t="s">
        <v>268</v>
      </c>
      <c r="D12" s="75">
        <v>6000.0</v>
      </c>
      <c r="E12" s="14"/>
      <c r="F12" s="45"/>
    </row>
    <row r="13">
      <c r="A13" s="111" t="s">
        <v>270</v>
      </c>
      <c r="B13" s="111" t="s">
        <v>92</v>
      </c>
      <c r="C13" s="14" t="s">
        <v>268</v>
      </c>
      <c r="D13" s="111">
        <v>2500.0</v>
      </c>
      <c r="E13" s="14"/>
      <c r="F13" s="45"/>
      <c r="G13" s="136" t="s">
        <v>405</v>
      </c>
    </row>
    <row r="14">
      <c r="A14" s="64" t="s">
        <v>115</v>
      </c>
      <c r="B14" s="64" t="s">
        <v>116</v>
      </c>
      <c r="C14" s="14" t="s">
        <v>268</v>
      </c>
      <c r="D14" s="64">
        <v>20000.0</v>
      </c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146</v>
      </c>
      <c r="B15" s="64" t="s">
        <v>24</v>
      </c>
      <c r="C15" s="14" t="s">
        <v>268</v>
      </c>
      <c r="D15" s="64">
        <v>240.0</v>
      </c>
      <c r="G15" s="14" t="s">
        <v>260</v>
      </c>
    </row>
    <row r="16">
      <c r="A16" s="14" t="s">
        <v>378</v>
      </c>
      <c r="C16" s="85" t="s">
        <v>268</v>
      </c>
      <c r="D16" s="14">
        <v>2460.0</v>
      </c>
      <c r="E16" s="14"/>
      <c r="G16" s="14" t="s">
        <v>393</v>
      </c>
    </row>
    <row r="17">
      <c r="A17" s="75" t="s">
        <v>196</v>
      </c>
      <c r="B17" s="75" t="s">
        <v>8</v>
      </c>
      <c r="C17" s="85" t="s">
        <v>268</v>
      </c>
      <c r="D17" s="75">
        <v>500.0</v>
      </c>
      <c r="E17" s="14"/>
      <c r="G17" s="14" t="s">
        <v>367</v>
      </c>
    </row>
    <row r="18">
      <c r="G18" s="14" t="s">
        <v>369</v>
      </c>
    </row>
    <row r="19">
      <c r="E19" s="14"/>
      <c r="G19" s="14" t="s">
        <v>275</v>
      </c>
    </row>
    <row r="20">
      <c r="G20" s="14" t="s">
        <v>95</v>
      </c>
    </row>
    <row r="21">
      <c r="A21" s="106"/>
      <c r="B21" s="106"/>
      <c r="C21" s="127"/>
      <c r="D21" s="106"/>
      <c r="G21" s="14" t="s">
        <v>243</v>
      </c>
    </row>
    <row r="22">
      <c r="A22" s="107"/>
      <c r="B22" s="107"/>
      <c r="C22" s="152"/>
      <c r="D22" s="107"/>
      <c r="G22" s="14" t="s">
        <v>293</v>
      </c>
    </row>
    <row r="23">
      <c r="A23" s="36"/>
      <c r="B23" s="36"/>
      <c r="C23" s="139"/>
      <c r="D23" s="140"/>
      <c r="G23" s="14" t="s">
        <v>413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96132</v>
      </c>
      <c r="G32" s="33" t="s">
        <v>349</v>
      </c>
      <c r="H32" s="153"/>
      <c r="I32" s="154">
        <f>SUM(I15:I30)</f>
        <v>0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300.0</v>
      </c>
      <c r="E37" s="14"/>
    </row>
    <row r="38">
      <c r="A38" s="106" t="s">
        <v>405</v>
      </c>
      <c r="B38" s="106" t="s">
        <v>52</v>
      </c>
      <c r="C38" s="14" t="s">
        <v>268</v>
      </c>
      <c r="D38" s="106">
        <v>6000.0</v>
      </c>
      <c r="E38" s="14"/>
    </row>
    <row r="50">
      <c r="E50" s="88"/>
    </row>
    <row r="51">
      <c r="A51" s="70" t="s">
        <v>10</v>
      </c>
      <c r="B51" s="70" t="s">
        <v>140</v>
      </c>
      <c r="C51" s="14" t="s">
        <v>268</v>
      </c>
      <c r="D51" s="70">
        <v>0.0</v>
      </c>
    </row>
    <row r="52">
      <c r="A52" s="14" t="s">
        <v>358</v>
      </c>
      <c r="B52" s="14" t="s">
        <v>52</v>
      </c>
      <c r="C52" s="14" t="s">
        <v>268</v>
      </c>
      <c r="D52" s="8">
        <f>I32</f>
        <v>0</v>
      </c>
    </row>
    <row r="54">
      <c r="H54" s="14"/>
    </row>
    <row r="55">
      <c r="E55" s="14"/>
    </row>
    <row r="68">
      <c r="C68" s="8" t="s">
        <v>39</v>
      </c>
      <c r="D68" s="19">
        <f>SUM(D37:D65)</f>
        <v>6300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ataValidations>
    <dataValidation type="list" allowBlank="1" showErrorMessage="1" sqref="C3:C17 C37:C38 C51:C52">
      <formula1>"Online,Cash"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1690.0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112681.0</v>
      </c>
    </row>
    <row r="3">
      <c r="A3" s="14" t="s">
        <v>418</v>
      </c>
      <c r="B3" s="14" t="s">
        <v>24</v>
      </c>
      <c r="C3" s="85" t="s">
        <v>268</v>
      </c>
      <c r="D3" s="14">
        <v>199.0</v>
      </c>
      <c r="E3" s="38"/>
      <c r="G3" s="65"/>
      <c r="H3" s="66" t="s">
        <v>269</v>
      </c>
    </row>
    <row r="4">
      <c r="A4" s="14" t="s">
        <v>28</v>
      </c>
      <c r="B4" s="14" t="s">
        <v>48</v>
      </c>
      <c r="C4" s="85" t="s">
        <v>268</v>
      </c>
      <c r="D4" s="14">
        <v>500.0</v>
      </c>
      <c r="E4" s="14"/>
      <c r="G4" s="68"/>
      <c r="H4" s="66" t="s">
        <v>206</v>
      </c>
      <c r="K4" s="4" t="s">
        <v>13</v>
      </c>
      <c r="L4" s="23">
        <f>L1 + L2</f>
        <v>114371</v>
      </c>
    </row>
    <row r="5">
      <c r="A5" s="14" t="s">
        <v>93</v>
      </c>
      <c r="B5" s="14" t="s">
        <v>48</v>
      </c>
      <c r="C5" s="85" t="s">
        <v>268</v>
      </c>
      <c r="D5" s="14">
        <v>1200.0</v>
      </c>
      <c r="E5" s="14"/>
      <c r="G5" s="69"/>
      <c r="H5" s="66" t="s">
        <v>7</v>
      </c>
      <c r="K5" s="39" t="s">
        <v>114</v>
      </c>
      <c r="L5" s="13">
        <f>L4 - (D32)</f>
        <v>12992</v>
      </c>
    </row>
    <row r="6">
      <c r="A6" s="64" t="s">
        <v>416</v>
      </c>
      <c r="B6" s="64" t="s">
        <v>200</v>
      </c>
      <c r="C6" s="85" t="s">
        <v>268</v>
      </c>
      <c r="D6" s="67">
        <v>11795.0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8891</v>
      </c>
    </row>
    <row r="7">
      <c r="A7" s="64" t="s">
        <v>201</v>
      </c>
      <c r="B7" s="64" t="s">
        <v>200</v>
      </c>
      <c r="C7" s="85" t="s">
        <v>268</v>
      </c>
      <c r="D7" s="67">
        <v>4651.0</v>
      </c>
      <c r="E7" s="14"/>
      <c r="G7" s="92"/>
      <c r="H7" s="66" t="s">
        <v>205</v>
      </c>
    </row>
    <row r="8">
      <c r="A8" s="111" t="s">
        <v>264</v>
      </c>
      <c r="B8" s="111" t="s">
        <v>200</v>
      </c>
      <c r="C8" s="85" t="s">
        <v>268</v>
      </c>
      <c r="D8" s="113">
        <v>2757.0</v>
      </c>
      <c r="E8" s="14"/>
      <c r="F8" s="45"/>
      <c r="G8" s="128"/>
      <c r="H8" s="66" t="s">
        <v>277</v>
      </c>
    </row>
    <row r="9">
      <c r="A9" s="64" t="s">
        <v>417</v>
      </c>
      <c r="B9" s="64" t="s">
        <v>200</v>
      </c>
      <c r="C9" s="85" t="s">
        <v>268</v>
      </c>
      <c r="D9" s="67">
        <v>1040.0</v>
      </c>
      <c r="E9" s="14"/>
      <c r="F9" s="45"/>
    </row>
    <row r="10">
      <c r="A10" s="64" t="s">
        <v>146</v>
      </c>
      <c r="B10" s="64" t="s">
        <v>24</v>
      </c>
      <c r="C10" s="85" t="s">
        <v>268</v>
      </c>
      <c r="D10" s="64">
        <v>2295.0</v>
      </c>
      <c r="E10" s="14"/>
    </row>
    <row r="11">
      <c r="A11" s="14" t="s">
        <v>326</v>
      </c>
      <c r="B11" s="14" t="s">
        <v>24</v>
      </c>
      <c r="C11" s="85" t="s">
        <v>268</v>
      </c>
      <c r="D11" s="14">
        <v>1357.0</v>
      </c>
      <c r="E11" s="14"/>
    </row>
    <row r="12">
      <c r="A12" s="106" t="s">
        <v>277</v>
      </c>
      <c r="B12" s="106" t="s">
        <v>48</v>
      </c>
      <c r="C12" s="85" t="s">
        <v>268</v>
      </c>
      <c r="D12" s="106">
        <v>25540.0</v>
      </c>
      <c r="E12" s="14"/>
      <c r="F12" s="45"/>
    </row>
    <row r="13">
      <c r="A13" s="14" t="s">
        <v>378</v>
      </c>
      <c r="C13" s="85" t="s">
        <v>268</v>
      </c>
      <c r="D13" s="14">
        <v>2460.0</v>
      </c>
      <c r="E13" s="14"/>
      <c r="F13" s="45"/>
      <c r="G13" s="136" t="s">
        <v>405</v>
      </c>
    </row>
    <row r="14">
      <c r="A14" s="75" t="s">
        <v>196</v>
      </c>
      <c r="B14" s="75" t="s">
        <v>8</v>
      </c>
      <c r="C14" s="85" t="s">
        <v>268</v>
      </c>
      <c r="D14" s="75">
        <v>500.0</v>
      </c>
      <c r="G14" s="44" t="s">
        <v>364</v>
      </c>
      <c r="H14" s="44" t="s">
        <v>365</v>
      </c>
      <c r="I14" s="44" t="s">
        <v>366</v>
      </c>
      <c r="L14" s="118"/>
    </row>
    <row r="15">
      <c r="A15" s="79" t="s">
        <v>47</v>
      </c>
      <c r="B15" s="75" t="s">
        <v>48</v>
      </c>
      <c r="C15" s="85" t="s">
        <v>51</v>
      </c>
      <c r="D15" s="75">
        <v>4000.0</v>
      </c>
      <c r="G15" s="14" t="s">
        <v>260</v>
      </c>
    </row>
    <row r="16">
      <c r="A16" s="75" t="s">
        <v>7</v>
      </c>
      <c r="B16" s="75" t="s">
        <v>7</v>
      </c>
      <c r="C16" s="14" t="s">
        <v>51</v>
      </c>
      <c r="D16" s="75">
        <v>6000.0</v>
      </c>
      <c r="E16" s="14"/>
      <c r="G16" s="14" t="s">
        <v>393</v>
      </c>
    </row>
    <row r="17">
      <c r="A17" s="111" t="s">
        <v>270</v>
      </c>
      <c r="B17" s="111" t="s">
        <v>92</v>
      </c>
      <c r="C17" s="14" t="s">
        <v>268</v>
      </c>
      <c r="D17" s="111">
        <v>2500.0</v>
      </c>
      <c r="E17" s="14"/>
      <c r="G17" s="14" t="s">
        <v>367</v>
      </c>
    </row>
    <row r="18">
      <c r="A18" s="70" t="s">
        <v>10</v>
      </c>
      <c r="B18" s="70" t="s">
        <v>140</v>
      </c>
      <c r="C18" s="14" t="s">
        <v>268</v>
      </c>
      <c r="D18" s="70">
        <v>5000.0</v>
      </c>
      <c r="G18" s="14" t="s">
        <v>369</v>
      </c>
    </row>
    <row r="19">
      <c r="A19" s="64" t="s">
        <v>115</v>
      </c>
      <c r="B19" s="64" t="s">
        <v>116</v>
      </c>
      <c r="C19" s="14" t="s">
        <v>268</v>
      </c>
      <c r="D19" s="64">
        <v>20000.0</v>
      </c>
      <c r="E19" s="14"/>
      <c r="G19" s="14" t="s">
        <v>275</v>
      </c>
    </row>
    <row r="20">
      <c r="A20" s="64" t="s">
        <v>368</v>
      </c>
      <c r="B20" s="64" t="s">
        <v>200</v>
      </c>
      <c r="C20" s="85" t="s">
        <v>268</v>
      </c>
      <c r="D20" s="67">
        <v>9200.0</v>
      </c>
      <c r="G20" s="14" t="s">
        <v>95</v>
      </c>
    </row>
    <row r="21">
      <c r="A21" s="64" t="s">
        <v>146</v>
      </c>
      <c r="B21" s="64" t="s">
        <v>24</v>
      </c>
      <c r="C21" s="14" t="s">
        <v>268</v>
      </c>
      <c r="D21" s="64">
        <v>385.0</v>
      </c>
      <c r="G21" s="14" t="s">
        <v>243</v>
      </c>
    </row>
    <row r="22">
      <c r="A22" s="107"/>
      <c r="B22" s="107"/>
      <c r="C22" s="152"/>
      <c r="D22" s="107"/>
      <c r="G22" s="14" t="s">
        <v>293</v>
      </c>
    </row>
    <row r="23">
      <c r="G23" s="14" t="s">
        <v>413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101379</v>
      </c>
      <c r="G32" s="33" t="s">
        <v>349</v>
      </c>
      <c r="H32" s="153"/>
      <c r="I32" s="154">
        <f>SUM(I15:I30)</f>
        <v>0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f>500-D3</f>
        <v>301</v>
      </c>
      <c r="E37" s="14"/>
    </row>
    <row r="38">
      <c r="A38" s="106" t="s">
        <v>405</v>
      </c>
      <c r="B38" s="106" t="s">
        <v>52</v>
      </c>
      <c r="C38" s="14" t="s">
        <v>268</v>
      </c>
      <c r="D38" s="106">
        <f>2000-(D4 + D5)</f>
        <v>300</v>
      </c>
      <c r="E38" s="14"/>
    </row>
    <row r="40">
      <c r="A40" s="14" t="s">
        <v>358</v>
      </c>
      <c r="B40" s="14" t="s">
        <v>52</v>
      </c>
      <c r="C40" s="14" t="s">
        <v>268</v>
      </c>
      <c r="D40" s="14">
        <v>6000.0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SUM(D37:D60)</f>
        <v>6601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ataValidations>
    <dataValidation type="list" allowBlank="1" showErrorMessage="1" sqref="C3:C21 C37:C38 C40">
      <formula1>"Online,Cash"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744.0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118603.0</v>
      </c>
    </row>
    <row r="3">
      <c r="A3" s="64" t="s">
        <v>416</v>
      </c>
      <c r="B3" s="64" t="s">
        <v>200</v>
      </c>
      <c r="C3" s="85" t="s">
        <v>268</v>
      </c>
      <c r="D3" s="67">
        <v>10923.0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5540.0</v>
      </c>
      <c r="E4" s="14"/>
      <c r="G4" s="68"/>
      <c r="H4" s="66" t="s">
        <v>206</v>
      </c>
      <c r="K4" s="4" t="s">
        <v>13</v>
      </c>
      <c r="L4" s="23">
        <f>L1 + L2</f>
        <v>119347</v>
      </c>
    </row>
    <row r="5">
      <c r="A5" s="111" t="s">
        <v>264</v>
      </c>
      <c r="B5" s="111" t="s">
        <v>200</v>
      </c>
      <c r="C5" s="85" t="s">
        <v>268</v>
      </c>
      <c r="D5" s="113">
        <v>2745.0</v>
      </c>
      <c r="E5" s="14"/>
      <c r="G5" s="69"/>
      <c r="H5" s="66" t="s">
        <v>7</v>
      </c>
      <c r="K5" s="39" t="s">
        <v>114</v>
      </c>
      <c r="L5" s="13">
        <f>L4 - (D32)</f>
        <v>7558</v>
      </c>
    </row>
    <row r="6">
      <c r="A6" s="64" t="s">
        <v>417</v>
      </c>
      <c r="B6" s="64" t="s">
        <v>200</v>
      </c>
      <c r="C6" s="85" t="s">
        <v>268</v>
      </c>
      <c r="D6" s="67">
        <v>3902.0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1357</v>
      </c>
    </row>
    <row r="7">
      <c r="A7" s="14" t="s">
        <v>419</v>
      </c>
      <c r="B7" s="14" t="s">
        <v>24</v>
      </c>
      <c r="C7" s="85" t="s">
        <v>268</v>
      </c>
      <c r="D7" s="14">
        <v>814.0</v>
      </c>
      <c r="E7" s="14"/>
      <c r="G7" s="92"/>
      <c r="H7" s="66" t="s">
        <v>205</v>
      </c>
    </row>
    <row r="8">
      <c r="A8" s="64" t="s">
        <v>146</v>
      </c>
      <c r="B8" s="64" t="s">
        <v>24</v>
      </c>
      <c r="C8" s="85" t="s">
        <v>268</v>
      </c>
      <c r="D8" s="64">
        <v>2783.0</v>
      </c>
      <c r="E8" s="14"/>
      <c r="F8" s="45"/>
      <c r="G8" s="128"/>
      <c r="H8" s="66" t="s">
        <v>277</v>
      </c>
    </row>
    <row r="9">
      <c r="A9" s="75" t="s">
        <v>196</v>
      </c>
      <c r="B9" s="75" t="s">
        <v>8</v>
      </c>
      <c r="C9" s="85" t="s">
        <v>268</v>
      </c>
      <c r="D9" s="75">
        <v>500.0</v>
      </c>
      <c r="E9" s="14"/>
      <c r="F9" s="45"/>
    </row>
    <row r="10">
      <c r="A10" s="79" t="s">
        <v>47</v>
      </c>
      <c r="B10" s="75" t="s">
        <v>48</v>
      </c>
      <c r="C10" s="85" t="s">
        <v>268</v>
      </c>
      <c r="D10" s="75">
        <v>4000.0</v>
      </c>
      <c r="E10" s="14"/>
    </row>
    <row r="11">
      <c r="A11" s="75" t="s">
        <v>7</v>
      </c>
      <c r="B11" s="75" t="s">
        <v>7</v>
      </c>
      <c r="C11" s="14" t="s">
        <v>268</v>
      </c>
      <c r="D11" s="75">
        <v>4000.0</v>
      </c>
      <c r="E11" s="14"/>
    </row>
    <row r="12">
      <c r="A12" s="106" t="s">
        <v>277</v>
      </c>
      <c r="B12" s="106" t="s">
        <v>48</v>
      </c>
      <c r="C12" s="85" t="s">
        <v>268</v>
      </c>
      <c r="D12" s="106">
        <v>20000.0</v>
      </c>
      <c r="E12" s="14"/>
      <c r="F12" s="45"/>
    </row>
    <row r="13">
      <c r="A13" s="14" t="s">
        <v>378</v>
      </c>
      <c r="C13" s="85" t="s">
        <v>268</v>
      </c>
      <c r="D13" s="14">
        <v>2500.0</v>
      </c>
      <c r="E13" s="14"/>
      <c r="F13" s="45"/>
      <c r="G13" s="136" t="s">
        <v>405</v>
      </c>
    </row>
    <row r="14">
      <c r="A14" s="111" t="s">
        <v>270</v>
      </c>
      <c r="B14" s="111" t="s">
        <v>420</v>
      </c>
      <c r="C14" s="14" t="s">
        <v>268</v>
      </c>
      <c r="D14" s="111">
        <v>2500.0</v>
      </c>
      <c r="G14" s="44" t="s">
        <v>364</v>
      </c>
      <c r="H14" s="44" t="s">
        <v>365</v>
      </c>
      <c r="I14" s="44" t="s">
        <v>366</v>
      </c>
      <c r="L14" s="118"/>
    </row>
    <row r="15">
      <c r="A15" s="70" t="s">
        <v>10</v>
      </c>
      <c r="B15" s="70" t="s">
        <v>140</v>
      </c>
      <c r="C15" s="14" t="s">
        <v>268</v>
      </c>
      <c r="D15" s="70">
        <v>5000.0</v>
      </c>
      <c r="G15" s="14" t="s">
        <v>260</v>
      </c>
      <c r="I15" s="8">
        <f>140</f>
        <v>140</v>
      </c>
    </row>
    <row r="16">
      <c r="A16" s="70" t="s">
        <v>140</v>
      </c>
      <c r="B16" s="70" t="s">
        <v>140</v>
      </c>
      <c r="C16" s="14" t="s">
        <v>268</v>
      </c>
      <c r="D16" s="70">
        <v>9000.0</v>
      </c>
      <c r="E16" s="14"/>
      <c r="G16" s="14" t="s">
        <v>393</v>
      </c>
      <c r="I16" s="14">
        <f>146+162</f>
        <v>308</v>
      </c>
    </row>
    <row r="17">
      <c r="A17" s="64" t="s">
        <v>421</v>
      </c>
      <c r="B17" s="64" t="s">
        <v>24</v>
      </c>
      <c r="C17" s="14" t="s">
        <v>268</v>
      </c>
      <c r="D17" s="64">
        <f>(3556+236)+(2792)</f>
        <v>6584</v>
      </c>
      <c r="E17" s="14"/>
      <c r="G17" s="14" t="s">
        <v>367</v>
      </c>
    </row>
    <row r="18">
      <c r="A18" s="14" t="s">
        <v>346</v>
      </c>
      <c r="B18" s="14" t="s">
        <v>52</v>
      </c>
      <c r="C18" s="14" t="s">
        <v>268</v>
      </c>
      <c r="D18" s="8">
        <f>I32</f>
        <v>3799</v>
      </c>
      <c r="G18" s="14" t="s">
        <v>369</v>
      </c>
    </row>
    <row r="19">
      <c r="A19" s="64" t="s">
        <v>368</v>
      </c>
      <c r="B19" s="64" t="s">
        <v>200</v>
      </c>
      <c r="C19" s="85" t="s">
        <v>268</v>
      </c>
      <c r="D19" s="67">
        <v>6152.0</v>
      </c>
      <c r="E19" s="14"/>
      <c r="G19" s="14" t="s">
        <v>275</v>
      </c>
    </row>
    <row r="20">
      <c r="G20" s="14" t="s">
        <v>95</v>
      </c>
      <c r="I20" s="8">
        <f>84</f>
        <v>84</v>
      </c>
    </row>
    <row r="21">
      <c r="A21" s="64" t="s">
        <v>146</v>
      </c>
      <c r="B21" s="64" t="s">
        <v>24</v>
      </c>
      <c r="C21" s="85" t="s">
        <v>268</v>
      </c>
      <c r="D21" s="64">
        <v>1047.0</v>
      </c>
      <c r="G21" s="14" t="s">
        <v>243</v>
      </c>
      <c r="I21" s="8">
        <f>239+75+100+50+270</f>
        <v>734</v>
      </c>
    </row>
    <row r="22">
      <c r="A22" s="64" t="s">
        <v>115</v>
      </c>
      <c r="B22" s="64" t="s">
        <v>116</v>
      </c>
      <c r="C22" s="14" t="s">
        <v>268</v>
      </c>
      <c r="D22" s="64">
        <v>20000.0</v>
      </c>
      <c r="G22" s="14" t="s">
        <v>293</v>
      </c>
      <c r="I22" s="8">
        <f>783</f>
        <v>783</v>
      </c>
    </row>
    <row r="23">
      <c r="A23" s="36"/>
      <c r="B23" s="36"/>
      <c r="C23" s="139"/>
      <c r="D23" s="140"/>
      <c r="G23" s="14" t="s">
        <v>422</v>
      </c>
    </row>
    <row r="24">
      <c r="G24" s="14" t="s">
        <v>197</v>
      </c>
    </row>
    <row r="25">
      <c r="G25" s="14" t="s">
        <v>229</v>
      </c>
      <c r="I25" s="14">
        <v>400.0</v>
      </c>
    </row>
    <row r="26">
      <c r="A26" s="106"/>
      <c r="B26" s="106"/>
      <c r="C26" s="107"/>
      <c r="D26" s="106"/>
      <c r="G26" s="14" t="s">
        <v>423</v>
      </c>
      <c r="I26" s="14">
        <v>1200.0</v>
      </c>
    </row>
    <row r="27">
      <c r="A27" s="107"/>
      <c r="B27" s="107"/>
      <c r="C27" s="108"/>
      <c r="D27" s="107"/>
      <c r="E27" s="84"/>
      <c r="G27" s="14" t="s">
        <v>424</v>
      </c>
      <c r="I27" s="14">
        <v>150.0</v>
      </c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111789</v>
      </c>
      <c r="G32" s="33" t="s">
        <v>349</v>
      </c>
      <c r="H32" s="153"/>
      <c r="I32" s="154">
        <f>SUM(I15:I30)</f>
        <v>3799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0.0</v>
      </c>
      <c r="E37" s="14"/>
    </row>
    <row r="38">
      <c r="A38" s="106" t="s">
        <v>405</v>
      </c>
      <c r="B38" s="106" t="s">
        <v>52</v>
      </c>
      <c r="C38" s="14" t="s">
        <v>268</v>
      </c>
      <c r="D38" s="106">
        <v>0.0</v>
      </c>
      <c r="E38" s="14"/>
    </row>
    <row r="39">
      <c r="A39" s="14" t="s">
        <v>358</v>
      </c>
      <c r="B39" s="14" t="s">
        <v>52</v>
      </c>
      <c r="C39" s="14" t="s">
        <v>268</v>
      </c>
      <c r="D39" s="14">
        <f>10000-(D18)</f>
        <v>6201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SUM(D37:D60)</f>
        <v>6201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</sheetData>
  <mergeCells count="3">
    <mergeCell ref="A1:D1"/>
    <mergeCell ref="G13:I13"/>
    <mergeCell ref="A35:D35"/>
  </mergeCells>
  <dataValidations>
    <dataValidation type="list" allowBlank="1" showErrorMessage="1" sqref="C3:C19 C21:C22 C37:C39">
      <formula1>"Online,Cash"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2518.0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226863.0</v>
      </c>
    </row>
    <row r="3">
      <c r="A3" s="14" t="s">
        <v>346</v>
      </c>
      <c r="B3" s="14" t="s">
        <v>52</v>
      </c>
      <c r="C3" s="14" t="s">
        <v>268</v>
      </c>
      <c r="D3" s="8">
        <f>I32</f>
        <v>1569</v>
      </c>
      <c r="E3" s="38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11009.0</v>
      </c>
      <c r="E4" s="14"/>
      <c r="G4" s="68"/>
      <c r="H4" s="66" t="s">
        <v>206</v>
      </c>
      <c r="K4" s="4" t="s">
        <v>13</v>
      </c>
      <c r="L4" s="23">
        <f>L1 + L2</f>
        <v>229381</v>
      </c>
    </row>
    <row r="5">
      <c r="A5" s="64" t="s">
        <v>201</v>
      </c>
      <c r="B5" s="64" t="s">
        <v>200</v>
      </c>
      <c r="C5" s="85" t="s">
        <v>268</v>
      </c>
      <c r="D5" s="67">
        <v>3743.0</v>
      </c>
      <c r="E5" s="14"/>
      <c r="G5" s="69"/>
      <c r="H5" s="66" t="s">
        <v>7</v>
      </c>
      <c r="K5" s="39" t="s">
        <v>114</v>
      </c>
      <c r="L5" s="13">
        <f>L4 - (D32)</f>
        <v>5232</v>
      </c>
    </row>
    <row r="6">
      <c r="A6" s="111" t="s">
        <v>264</v>
      </c>
      <c r="B6" s="111" t="s">
        <v>200</v>
      </c>
      <c r="C6" s="85" t="s">
        <v>268</v>
      </c>
      <c r="D6" s="113">
        <v>2737.0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158</v>
      </c>
    </row>
    <row r="7">
      <c r="A7" s="64" t="s">
        <v>417</v>
      </c>
      <c r="B7" s="64" t="s">
        <v>200</v>
      </c>
      <c r="C7" s="85" t="s">
        <v>268</v>
      </c>
      <c r="D7" s="67">
        <v>4930.0</v>
      </c>
      <c r="E7" s="14"/>
      <c r="G7" s="92"/>
      <c r="H7" s="66" t="s">
        <v>205</v>
      </c>
    </row>
    <row r="8">
      <c r="A8" s="14" t="s">
        <v>425</v>
      </c>
      <c r="B8" s="14" t="s">
        <v>92</v>
      </c>
      <c r="C8" s="14" t="s">
        <v>268</v>
      </c>
      <c r="D8" s="14">
        <v>1357.0</v>
      </c>
      <c r="E8" s="14"/>
      <c r="F8" s="45"/>
      <c r="G8" s="128"/>
      <c r="H8" s="66" t="s">
        <v>277</v>
      </c>
    </row>
    <row r="9">
      <c r="A9" s="64" t="s">
        <v>426</v>
      </c>
      <c r="B9" s="64" t="s">
        <v>24</v>
      </c>
      <c r="C9" s="85" t="s">
        <v>268</v>
      </c>
      <c r="D9" s="64">
        <v>2782.0</v>
      </c>
      <c r="E9" s="14"/>
      <c r="F9" s="45"/>
    </row>
    <row r="10">
      <c r="A10" s="111" t="s">
        <v>270</v>
      </c>
      <c r="B10" s="111" t="s">
        <v>420</v>
      </c>
      <c r="C10" s="14" t="s">
        <v>268</v>
      </c>
      <c r="D10" s="111">
        <v>2500.0</v>
      </c>
      <c r="E10" s="14"/>
    </row>
    <row r="11">
      <c r="A11" s="70" t="s">
        <v>10</v>
      </c>
      <c r="B11" s="70" t="s">
        <v>140</v>
      </c>
      <c r="C11" s="14" t="s">
        <v>268</v>
      </c>
      <c r="D11" s="70">
        <v>5000.0</v>
      </c>
      <c r="E11" s="14"/>
    </row>
    <row r="12">
      <c r="A12" s="70" t="s">
        <v>140</v>
      </c>
      <c r="B12" s="70" t="s">
        <v>140</v>
      </c>
      <c r="C12" s="14" t="s">
        <v>268</v>
      </c>
      <c r="D12" s="70">
        <v>20000.0</v>
      </c>
      <c r="E12" s="14"/>
      <c r="F12" s="45"/>
    </row>
    <row r="13">
      <c r="A13" s="64" t="s">
        <v>421</v>
      </c>
      <c r="B13" s="64" t="s">
        <v>24</v>
      </c>
      <c r="C13" s="14" t="s">
        <v>268</v>
      </c>
      <c r="D13" s="64">
        <f>(3556)+(2556)</f>
        <v>6112</v>
      </c>
      <c r="E13" s="14"/>
      <c r="F13" s="45"/>
      <c r="G13" s="136" t="s">
        <v>405</v>
      </c>
    </row>
    <row r="14">
      <c r="A14" s="106" t="s">
        <v>277</v>
      </c>
      <c r="B14" s="106" t="s">
        <v>48</v>
      </c>
      <c r="C14" s="85" t="s">
        <v>268</v>
      </c>
      <c r="D14" s="106">
        <v>20000.0</v>
      </c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378</v>
      </c>
      <c r="C15" s="85" t="s">
        <v>268</v>
      </c>
      <c r="D15" s="14">
        <f>2500+1500</f>
        <v>4000</v>
      </c>
      <c r="G15" s="14" t="s">
        <v>260</v>
      </c>
    </row>
    <row r="16">
      <c r="A16" s="75" t="s">
        <v>196</v>
      </c>
      <c r="B16" s="75" t="s">
        <v>8</v>
      </c>
      <c r="C16" s="85" t="s">
        <v>268</v>
      </c>
      <c r="D16" s="75">
        <v>500.0</v>
      </c>
      <c r="E16" s="14"/>
      <c r="G16" s="14" t="s">
        <v>393</v>
      </c>
      <c r="I16" s="14">
        <f>197+119+131+122</f>
        <v>569</v>
      </c>
    </row>
    <row r="17">
      <c r="A17" s="14" t="s">
        <v>278</v>
      </c>
      <c r="B17" s="14" t="s">
        <v>94</v>
      </c>
      <c r="C17" s="14" t="s">
        <v>268</v>
      </c>
      <c r="D17" s="14">
        <v>100000.0</v>
      </c>
      <c r="E17" s="14"/>
      <c r="G17" s="14" t="s">
        <v>367</v>
      </c>
    </row>
    <row r="18">
      <c r="A18" s="79" t="s">
        <v>47</v>
      </c>
      <c r="B18" s="75" t="s">
        <v>48</v>
      </c>
      <c r="C18" s="85" t="s">
        <v>268</v>
      </c>
      <c r="D18" s="75">
        <v>4000.0</v>
      </c>
      <c r="G18" s="14" t="s">
        <v>369</v>
      </c>
      <c r="I18" s="14">
        <f>190+10</f>
        <v>200</v>
      </c>
    </row>
    <row r="19">
      <c r="A19" s="75" t="s">
        <v>7</v>
      </c>
      <c r="B19" s="75" t="s">
        <v>7</v>
      </c>
      <c r="C19" s="14" t="s">
        <v>268</v>
      </c>
      <c r="D19" s="75">
        <v>6000.0</v>
      </c>
      <c r="E19" s="14"/>
      <c r="G19" s="14" t="s">
        <v>275</v>
      </c>
    </row>
    <row r="20">
      <c r="A20" s="64" t="s">
        <v>115</v>
      </c>
      <c r="B20" s="64" t="s">
        <v>116</v>
      </c>
      <c r="C20" s="14" t="s">
        <v>268</v>
      </c>
      <c r="D20" s="64">
        <v>20000.0</v>
      </c>
      <c r="G20" s="14" t="s">
        <v>95</v>
      </c>
      <c r="I20" s="14">
        <f>2+409</f>
        <v>411</v>
      </c>
    </row>
    <row r="21">
      <c r="A21" s="64" t="s">
        <v>368</v>
      </c>
      <c r="B21" s="64" t="s">
        <v>200</v>
      </c>
      <c r="C21" s="85" t="s">
        <v>268</v>
      </c>
      <c r="D21" s="67">
        <v>5090.0</v>
      </c>
      <c r="G21" s="14" t="s">
        <v>243</v>
      </c>
      <c r="I21" s="8">
        <f>147+13</f>
        <v>160</v>
      </c>
    </row>
    <row r="22">
      <c r="A22" s="14" t="s">
        <v>51</v>
      </c>
      <c r="B22" s="14" t="s">
        <v>52</v>
      </c>
      <c r="D22" s="14">
        <v>2000.0</v>
      </c>
      <c r="G22" s="14" t="s">
        <v>293</v>
      </c>
      <c r="I22" s="8">
        <f>29</f>
        <v>29</v>
      </c>
    </row>
    <row r="23">
      <c r="A23" s="64" t="s">
        <v>427</v>
      </c>
      <c r="B23" s="64" t="s">
        <v>24</v>
      </c>
      <c r="C23" s="85" t="s">
        <v>268</v>
      </c>
      <c r="D23" s="64">
        <v>820.0</v>
      </c>
      <c r="G23" s="14" t="s">
        <v>422</v>
      </c>
    </row>
    <row r="24">
      <c r="G24" s="14" t="s">
        <v>197</v>
      </c>
      <c r="I24" s="8">
        <f>110</f>
        <v>110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423</v>
      </c>
    </row>
    <row r="27">
      <c r="A27" s="107"/>
      <c r="B27" s="107"/>
      <c r="C27" s="108"/>
      <c r="D27" s="107"/>
      <c r="E27" s="84"/>
      <c r="G27" s="14" t="s">
        <v>424</v>
      </c>
    </row>
    <row r="28">
      <c r="A28" s="107"/>
      <c r="B28" s="107"/>
      <c r="C28" s="108"/>
      <c r="D28" s="107"/>
      <c r="G28" s="14" t="s">
        <v>428</v>
      </c>
      <c r="I28" s="14">
        <v>90.0</v>
      </c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224149</v>
      </c>
      <c r="G32" s="33" t="s">
        <v>349</v>
      </c>
      <c r="H32" s="153"/>
      <c r="I32" s="154">
        <f>SUM(I15:I30)</f>
        <v>1569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62" t="s">
        <v>104</v>
      </c>
      <c r="B37" s="62" t="s">
        <v>24</v>
      </c>
      <c r="C37" s="85" t="s">
        <v>268</v>
      </c>
      <c r="D37" s="64">
        <v>0.0</v>
      </c>
      <c r="E37" s="14"/>
    </row>
    <row r="38">
      <c r="A38" s="106" t="s">
        <v>405</v>
      </c>
      <c r="B38" s="106" t="s">
        <v>52</v>
      </c>
      <c r="C38" s="14" t="s">
        <v>268</v>
      </c>
      <c r="D38" s="106">
        <v>0.0</v>
      </c>
      <c r="E38" s="14"/>
    </row>
    <row r="39">
      <c r="A39" s="14" t="s">
        <v>358</v>
      </c>
      <c r="B39" s="14" t="s">
        <v>52</v>
      </c>
      <c r="C39" s="14" t="s">
        <v>268</v>
      </c>
      <c r="D39" s="14">
        <f>8000-D3</f>
        <v>6431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6431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270000-D17</f>
        <v>170000</v>
      </c>
    </row>
  </sheetData>
  <mergeCells count="3">
    <mergeCell ref="A1:D1"/>
    <mergeCell ref="G13:I13"/>
    <mergeCell ref="A35:D35"/>
  </mergeCells>
  <dataValidations>
    <dataValidation type="list" allowBlank="1" showErrorMessage="1" sqref="C3:C21 C23 C37:C39">
      <formula1>"Online,Cash"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2215.0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118603.0</v>
      </c>
    </row>
    <row r="3">
      <c r="A3" s="64" t="s">
        <v>416</v>
      </c>
      <c r="B3" s="64" t="s">
        <v>200</v>
      </c>
      <c r="C3" s="85" t="s">
        <v>268</v>
      </c>
      <c r="D3" s="67">
        <v>16156.0</v>
      </c>
      <c r="E3" s="38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5476.0</v>
      </c>
      <c r="E4" s="14"/>
      <c r="G4" s="68"/>
      <c r="H4" s="66" t="s">
        <v>206</v>
      </c>
      <c r="K4" s="4" t="s">
        <v>13</v>
      </c>
      <c r="L4" s="23">
        <f>L1 + L2</f>
        <v>120818</v>
      </c>
    </row>
    <row r="5">
      <c r="A5" s="111" t="s">
        <v>264</v>
      </c>
      <c r="B5" s="111" t="s">
        <v>200</v>
      </c>
      <c r="C5" s="85" t="s">
        <v>268</v>
      </c>
      <c r="D5" s="113">
        <v>3318.0</v>
      </c>
      <c r="E5" s="14"/>
      <c r="G5" s="69"/>
      <c r="H5" s="66" t="s">
        <v>7</v>
      </c>
      <c r="K5" s="39" t="s">
        <v>114</v>
      </c>
      <c r="L5" s="13">
        <f>L4 - (D32)</f>
        <v>10123</v>
      </c>
    </row>
    <row r="6">
      <c r="A6" s="64" t="s">
        <v>417</v>
      </c>
      <c r="B6" s="64" t="s">
        <v>200</v>
      </c>
      <c r="C6" s="85" t="s">
        <v>268</v>
      </c>
      <c r="D6" s="67">
        <v>8482.0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2724</v>
      </c>
    </row>
    <row r="7">
      <c r="A7" s="64" t="s">
        <v>426</v>
      </c>
      <c r="B7" s="64" t="s">
        <v>24</v>
      </c>
      <c r="C7" s="85" t="s">
        <v>268</v>
      </c>
      <c r="D7" s="64">
        <v>2783.0</v>
      </c>
      <c r="E7" s="14"/>
      <c r="G7" s="92"/>
      <c r="H7" s="66" t="s">
        <v>205</v>
      </c>
    </row>
    <row r="8">
      <c r="A8" s="75" t="s">
        <v>196</v>
      </c>
      <c r="B8" s="75" t="s">
        <v>8</v>
      </c>
      <c r="C8" s="85" t="s">
        <v>268</v>
      </c>
      <c r="D8" s="75">
        <v>500.0</v>
      </c>
      <c r="E8" s="14"/>
      <c r="F8" s="45"/>
      <c r="G8" s="128"/>
      <c r="H8" s="66" t="s">
        <v>277</v>
      </c>
    </row>
    <row r="9">
      <c r="A9" s="106" t="s">
        <v>277</v>
      </c>
      <c r="B9" s="106" t="s">
        <v>48</v>
      </c>
      <c r="C9" s="85" t="s">
        <v>268</v>
      </c>
      <c r="D9" s="106">
        <v>20000.0</v>
      </c>
      <c r="E9" s="14"/>
      <c r="F9" s="45"/>
    </row>
    <row r="10">
      <c r="A10" s="14" t="s">
        <v>378</v>
      </c>
      <c r="C10" s="85" t="s">
        <v>268</v>
      </c>
      <c r="D10" s="14">
        <v>3000.0</v>
      </c>
      <c r="E10" s="14"/>
    </row>
    <row r="11">
      <c r="A11" s="79" t="s">
        <v>47</v>
      </c>
      <c r="B11" s="75" t="s">
        <v>48</v>
      </c>
      <c r="C11" s="85" t="s">
        <v>268</v>
      </c>
      <c r="D11" s="75">
        <v>4000.0</v>
      </c>
      <c r="E11" s="14"/>
    </row>
    <row r="12">
      <c r="A12" s="75" t="s">
        <v>7</v>
      </c>
      <c r="B12" s="75" t="s">
        <v>7</v>
      </c>
      <c r="C12" s="14" t="s">
        <v>268</v>
      </c>
      <c r="D12" s="75">
        <v>4000.0</v>
      </c>
      <c r="E12" s="14"/>
      <c r="F12" s="45"/>
    </row>
    <row r="13">
      <c r="A13" s="111" t="s">
        <v>270</v>
      </c>
      <c r="B13" s="111" t="s">
        <v>420</v>
      </c>
      <c r="C13" s="14" t="s">
        <v>268</v>
      </c>
      <c r="D13" s="111">
        <v>2500.0</v>
      </c>
      <c r="E13" s="14"/>
      <c r="F13" s="45"/>
      <c r="G13" s="136" t="s">
        <v>405</v>
      </c>
    </row>
    <row r="14">
      <c r="A14" s="70" t="s">
        <v>10</v>
      </c>
      <c r="B14" s="70" t="s">
        <v>140</v>
      </c>
      <c r="C14" s="14" t="s">
        <v>268</v>
      </c>
      <c r="D14" s="70">
        <v>5000.0</v>
      </c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421</v>
      </c>
      <c r="B15" s="64" t="s">
        <v>24</v>
      </c>
      <c r="C15" s="14" t="s">
        <v>268</v>
      </c>
      <c r="D15" s="64">
        <f>(3556)+(2556)</f>
        <v>6112</v>
      </c>
      <c r="G15" s="14" t="s">
        <v>260</v>
      </c>
    </row>
    <row r="16">
      <c r="A16" s="14" t="s">
        <v>346</v>
      </c>
      <c r="B16" s="14" t="s">
        <v>52</v>
      </c>
      <c r="C16" s="14" t="s">
        <v>268</v>
      </c>
      <c r="D16" s="8">
        <f>I32</f>
        <v>601</v>
      </c>
      <c r="E16" s="14"/>
      <c r="G16" s="14" t="s">
        <v>393</v>
      </c>
      <c r="I16" s="14">
        <f>139+238+107</f>
        <v>484</v>
      </c>
    </row>
    <row r="17">
      <c r="A17" s="64" t="s">
        <v>115</v>
      </c>
      <c r="B17" s="64" t="s">
        <v>116</v>
      </c>
      <c r="C17" s="14" t="s">
        <v>268</v>
      </c>
      <c r="D17" s="64">
        <v>20000.0</v>
      </c>
      <c r="E17" s="14"/>
      <c r="G17" s="14" t="s">
        <v>367</v>
      </c>
    </row>
    <row r="18">
      <c r="A18" s="64" t="s">
        <v>368</v>
      </c>
      <c r="B18" s="64" t="s">
        <v>200</v>
      </c>
      <c r="C18" s="85" t="s">
        <v>268</v>
      </c>
      <c r="D18" s="67">
        <v>7862.0</v>
      </c>
      <c r="G18" s="14" t="s">
        <v>369</v>
      </c>
      <c r="I18" s="8">
        <f>10</f>
        <v>10</v>
      </c>
    </row>
    <row r="19">
      <c r="A19" s="64" t="s">
        <v>427</v>
      </c>
      <c r="B19" s="64" t="s">
        <v>24</v>
      </c>
      <c r="C19" s="85" t="s">
        <v>268</v>
      </c>
      <c r="D19" s="64">
        <v>905.0</v>
      </c>
      <c r="E19" s="14"/>
      <c r="G19" s="14" t="s">
        <v>275</v>
      </c>
    </row>
    <row r="20">
      <c r="G20" s="14" t="s">
        <v>95</v>
      </c>
    </row>
    <row r="21">
      <c r="G21" s="14" t="s">
        <v>243</v>
      </c>
      <c r="I21" s="8">
        <f>107</f>
        <v>107</v>
      </c>
    </row>
    <row r="22">
      <c r="G22" s="14" t="s">
        <v>293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423</v>
      </c>
    </row>
    <row r="27">
      <c r="A27" s="107"/>
      <c r="B27" s="107"/>
      <c r="C27" s="108"/>
      <c r="D27" s="107"/>
      <c r="E27" s="84"/>
      <c r="G27" s="14" t="s">
        <v>424</v>
      </c>
    </row>
    <row r="28">
      <c r="A28" s="107"/>
      <c r="B28" s="107"/>
      <c r="C28" s="108"/>
      <c r="D28" s="107"/>
      <c r="G28" s="14" t="s">
        <v>428</v>
      </c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110695</v>
      </c>
      <c r="G32" s="33" t="s">
        <v>349</v>
      </c>
      <c r="H32" s="153"/>
      <c r="I32" s="154">
        <f>SUM(I15:I30)</f>
        <v>601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70" t="s">
        <v>140</v>
      </c>
      <c r="B37" s="70" t="s">
        <v>140</v>
      </c>
      <c r="C37" s="14" t="s">
        <v>268</v>
      </c>
      <c r="D37" s="70">
        <v>0.0</v>
      </c>
      <c r="E37" s="14"/>
    </row>
    <row r="38">
      <c r="A38" s="14" t="s">
        <v>425</v>
      </c>
      <c r="B38" s="14" t="s">
        <v>92</v>
      </c>
      <c r="C38" s="14" t="s">
        <v>268</v>
      </c>
      <c r="D38" s="14">
        <v>0.0</v>
      </c>
      <c r="E38" s="14"/>
    </row>
    <row r="39">
      <c r="A39" s="14" t="s">
        <v>358</v>
      </c>
      <c r="B39" s="14" t="s">
        <v>52</v>
      </c>
      <c r="C39" s="14" t="s">
        <v>268</v>
      </c>
      <c r="D39" s="14">
        <f>8000-D16</f>
        <v>7399</v>
      </c>
    </row>
    <row r="50">
      <c r="E50" s="88"/>
    </row>
    <row r="53">
      <c r="C53" s="8"/>
    </row>
    <row r="54">
      <c r="H54" s="14"/>
    </row>
    <row r="55">
      <c r="E55" s="14"/>
    </row>
    <row r="68">
      <c r="C68" s="8" t="s">
        <v>39</v>
      </c>
      <c r="D68" s="19">
        <f>SUM(D37:D65)</f>
        <v>7399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</f>
        <v>170000</v>
      </c>
    </row>
  </sheetData>
  <mergeCells count="3">
    <mergeCell ref="A1:D1"/>
    <mergeCell ref="G13:I13"/>
    <mergeCell ref="A35:D35"/>
  </mergeCells>
  <dataValidations>
    <dataValidation type="list" allowBlank="1" showErrorMessage="1" sqref="C3:C19 C37:C39 C53">
      <formula1>"Online,Cash"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5384.0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155244.0</v>
      </c>
    </row>
    <row r="3">
      <c r="A3" s="14" t="s">
        <v>346</v>
      </c>
      <c r="C3" s="85" t="s">
        <v>268</v>
      </c>
      <c r="D3" s="8">
        <f>I32</f>
        <v>2077</v>
      </c>
      <c r="E3" s="38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13058.0</v>
      </c>
      <c r="E4" s="14"/>
      <c r="G4" s="68"/>
      <c r="H4" s="66" t="s">
        <v>206</v>
      </c>
      <c r="K4" s="4" t="s">
        <v>13</v>
      </c>
      <c r="L4" s="23">
        <f>L1 + L2</f>
        <v>160628</v>
      </c>
    </row>
    <row r="5">
      <c r="A5" s="64" t="s">
        <v>201</v>
      </c>
      <c r="B5" s="64" t="s">
        <v>200</v>
      </c>
      <c r="C5" s="85" t="s">
        <v>268</v>
      </c>
      <c r="D5" s="67">
        <v>8423.0</v>
      </c>
      <c r="E5" s="14"/>
      <c r="G5" s="69"/>
      <c r="H5" s="66" t="s">
        <v>7</v>
      </c>
      <c r="K5" s="39" t="s">
        <v>114</v>
      </c>
      <c r="L5" s="13">
        <f>L4 - (D32)</f>
        <v>10129</v>
      </c>
    </row>
    <row r="6">
      <c r="A6" s="64" t="s">
        <v>417</v>
      </c>
      <c r="B6" s="64" t="s">
        <v>200</v>
      </c>
      <c r="C6" s="85" t="s">
        <v>268</v>
      </c>
      <c r="D6" s="67">
        <v>7232.0</v>
      </c>
      <c r="E6" s="14"/>
      <c r="G6" s="71"/>
      <c r="H6" s="66" t="s">
        <v>183</v>
      </c>
      <c r="K6" s="39" t="s">
        <v>117</v>
      </c>
      <c r="L6" s="142">
        <f>L5 - D68 + (SUMIFS(D2:D30, B2:B30, "=TEMP"))</f>
        <v>2849</v>
      </c>
    </row>
    <row r="7">
      <c r="A7" s="64" t="s">
        <v>426</v>
      </c>
      <c r="B7" s="64" t="s">
        <v>24</v>
      </c>
      <c r="C7" s="85" t="s">
        <v>268</v>
      </c>
      <c r="D7" s="64">
        <v>3104.0</v>
      </c>
      <c r="E7" s="14"/>
      <c r="G7" s="92"/>
      <c r="H7" s="66" t="s">
        <v>205</v>
      </c>
    </row>
    <row r="8">
      <c r="A8" s="75" t="s">
        <v>196</v>
      </c>
      <c r="B8" s="75" t="s">
        <v>8</v>
      </c>
      <c r="C8" s="85" t="s">
        <v>268</v>
      </c>
      <c r="D8" s="75">
        <v>500.0</v>
      </c>
      <c r="E8" s="14"/>
      <c r="F8" s="45"/>
      <c r="G8" s="128"/>
      <c r="H8" s="66" t="s">
        <v>277</v>
      </c>
    </row>
    <row r="9">
      <c r="A9" s="79" t="s">
        <v>47</v>
      </c>
      <c r="B9" s="75" t="s">
        <v>48</v>
      </c>
      <c r="C9" s="85" t="s">
        <v>268</v>
      </c>
      <c r="D9" s="75">
        <v>4000.0</v>
      </c>
      <c r="E9" s="14"/>
      <c r="F9" s="45"/>
    </row>
    <row r="10">
      <c r="A10" s="75" t="s">
        <v>7</v>
      </c>
      <c r="B10" s="75" t="s">
        <v>7</v>
      </c>
      <c r="C10" s="14" t="s">
        <v>268</v>
      </c>
      <c r="D10" s="75">
        <v>4000.0</v>
      </c>
      <c r="E10" s="14"/>
    </row>
    <row r="11">
      <c r="A11" s="106" t="s">
        <v>277</v>
      </c>
      <c r="B11" s="106" t="s">
        <v>48</v>
      </c>
      <c r="C11" s="85" t="s">
        <v>268</v>
      </c>
      <c r="D11" s="106">
        <v>21000.0</v>
      </c>
      <c r="E11" s="14"/>
    </row>
    <row r="12">
      <c r="A12" s="14" t="s">
        <v>378</v>
      </c>
      <c r="C12" s="85" t="s">
        <v>268</v>
      </c>
      <c r="D12" s="14">
        <v>3000.0</v>
      </c>
      <c r="E12" s="14"/>
      <c r="F12" s="45"/>
    </row>
    <row r="13">
      <c r="A13" s="111" t="s">
        <v>270</v>
      </c>
      <c r="B13" s="111" t="s">
        <v>420</v>
      </c>
      <c r="C13" s="14" t="s">
        <v>268</v>
      </c>
      <c r="D13" s="111">
        <v>2500.0</v>
      </c>
      <c r="E13" s="14"/>
      <c r="F13" s="45"/>
      <c r="G13" s="136" t="s">
        <v>405</v>
      </c>
    </row>
    <row r="14">
      <c r="A14" s="70" t="s">
        <v>10</v>
      </c>
      <c r="B14" s="70" t="s">
        <v>140</v>
      </c>
      <c r="C14" s="14" t="s">
        <v>268</v>
      </c>
      <c r="D14" s="70">
        <v>5000.0</v>
      </c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421</v>
      </c>
      <c r="B15" s="64" t="s">
        <v>24</v>
      </c>
      <c r="C15" s="14" t="s">
        <v>268</v>
      </c>
      <c r="D15" s="64">
        <f>(3556)+(2556)</f>
        <v>6112</v>
      </c>
      <c r="G15" s="14" t="s">
        <v>260</v>
      </c>
      <c r="I15" s="8">
        <f>130+685</f>
        <v>815</v>
      </c>
    </row>
    <row r="16">
      <c r="A16" s="14" t="s">
        <v>429</v>
      </c>
      <c r="B16" s="14" t="s">
        <v>8</v>
      </c>
      <c r="C16" s="85" t="s">
        <v>268</v>
      </c>
      <c r="D16" s="14">
        <v>2178.0</v>
      </c>
      <c r="E16" s="14"/>
      <c r="G16" s="14" t="s">
        <v>393</v>
      </c>
      <c r="I16" s="14">
        <f>135+139+157+144</f>
        <v>575</v>
      </c>
    </row>
    <row r="17">
      <c r="A17" s="14" t="s">
        <v>64</v>
      </c>
      <c r="C17" s="85" t="s">
        <v>268</v>
      </c>
      <c r="D17" s="8">
        <f>5678+824</f>
        <v>6502</v>
      </c>
      <c r="E17" s="14"/>
      <c r="G17" s="14" t="s">
        <v>367</v>
      </c>
    </row>
    <row r="18">
      <c r="A18" s="14" t="s">
        <v>430</v>
      </c>
      <c r="C18" s="85" t="s">
        <v>268</v>
      </c>
      <c r="D18" s="14">
        <v>10000.0</v>
      </c>
      <c r="G18" s="14" t="s">
        <v>369</v>
      </c>
      <c r="I18" s="8">
        <f>120+70</f>
        <v>190</v>
      </c>
    </row>
    <row r="19">
      <c r="A19" s="14" t="s">
        <v>206</v>
      </c>
      <c r="B19" s="14" t="s">
        <v>140</v>
      </c>
      <c r="C19" s="85" t="s">
        <v>268</v>
      </c>
      <c r="D19" s="14">
        <v>25000.0</v>
      </c>
      <c r="E19" s="14"/>
      <c r="G19" s="14" t="s">
        <v>275</v>
      </c>
    </row>
    <row r="20">
      <c r="A20" s="64" t="s">
        <v>115</v>
      </c>
      <c r="B20" s="64" t="s">
        <v>116</v>
      </c>
      <c r="C20" s="14" t="s">
        <v>268</v>
      </c>
      <c r="D20" s="64">
        <v>20000.0</v>
      </c>
      <c r="G20" s="14" t="s">
        <v>95</v>
      </c>
      <c r="I20" s="8">
        <f>225</f>
        <v>225</v>
      </c>
    </row>
    <row r="21">
      <c r="A21" s="64" t="s">
        <v>368</v>
      </c>
      <c r="B21" s="64" t="s">
        <v>200</v>
      </c>
      <c r="C21" s="85" t="s">
        <v>268</v>
      </c>
      <c r="D21" s="67">
        <v>5908.0</v>
      </c>
      <c r="G21" s="14" t="s">
        <v>243</v>
      </c>
      <c r="I21" s="8">
        <f>62</f>
        <v>62</v>
      </c>
    </row>
    <row r="22">
      <c r="A22" s="64" t="s">
        <v>427</v>
      </c>
      <c r="B22" s="64" t="s">
        <v>24</v>
      </c>
      <c r="C22" s="85" t="s">
        <v>268</v>
      </c>
      <c r="D22" s="64">
        <v>905.0</v>
      </c>
      <c r="G22" s="14" t="s">
        <v>293</v>
      </c>
      <c r="I22" s="8">
        <f>100</f>
        <v>100</v>
      </c>
    </row>
    <row r="23">
      <c r="G23" s="14" t="s">
        <v>422</v>
      </c>
    </row>
    <row r="24">
      <c r="G24" s="14" t="s">
        <v>197</v>
      </c>
      <c r="I24" s="8">
        <f>110</f>
        <v>110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423</v>
      </c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150499</v>
      </c>
      <c r="G32" s="33" t="s">
        <v>349</v>
      </c>
      <c r="H32" s="153"/>
      <c r="I32" s="154">
        <f>SUM(I15:I30)</f>
        <v>2077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14" t="s">
        <v>425</v>
      </c>
      <c r="B37" s="14" t="s">
        <v>92</v>
      </c>
      <c r="C37" s="14" t="s">
        <v>268</v>
      </c>
      <c r="D37" s="14">
        <v>1357.0</v>
      </c>
      <c r="E37" s="14"/>
    </row>
    <row r="38">
      <c r="A38" s="14" t="s">
        <v>358</v>
      </c>
      <c r="B38" s="14" t="s">
        <v>52</v>
      </c>
      <c r="C38" s="14" t="s">
        <v>268</v>
      </c>
      <c r="D38" s="14">
        <f>8000-D3</f>
        <v>5923</v>
      </c>
      <c r="E38" s="14"/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7280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</f>
        <v>170000</v>
      </c>
    </row>
    <row r="75">
      <c r="A75" s="14" t="s">
        <v>431</v>
      </c>
      <c r="B75" s="14" t="s">
        <v>38</v>
      </c>
      <c r="D75" s="14">
        <v>30000.0</v>
      </c>
    </row>
    <row r="76">
      <c r="A76" s="14" t="s">
        <v>432</v>
      </c>
      <c r="B76" s="14" t="s">
        <v>38</v>
      </c>
      <c r="D76" s="14">
        <v>14000.0</v>
      </c>
    </row>
    <row r="82">
      <c r="D82" s="8">
        <f>SUM(D71:D76)</f>
        <v>350000</v>
      </c>
    </row>
  </sheetData>
  <mergeCells count="3">
    <mergeCell ref="A1:D1"/>
    <mergeCell ref="G13:I13"/>
    <mergeCell ref="A35:D35"/>
  </mergeCells>
  <dataValidations>
    <dataValidation type="list" allowBlank="1" showErrorMessage="1" sqref="C3:C22 C37:C38">
      <formula1>"Online,Cash"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1712.0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1357+156849</f>
        <v>158206</v>
      </c>
    </row>
    <row r="3">
      <c r="A3" s="64" t="s">
        <v>416</v>
      </c>
      <c r="B3" s="64" t="s">
        <v>200</v>
      </c>
      <c r="C3" s="85" t="s">
        <v>268</v>
      </c>
      <c r="D3" s="67">
        <v>20219.0</v>
      </c>
      <c r="E3" s="162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8804.0</v>
      </c>
      <c r="E4" s="106"/>
      <c r="G4" s="68"/>
      <c r="H4" s="66" t="s">
        <v>206</v>
      </c>
      <c r="K4" s="4" t="s">
        <v>13</v>
      </c>
      <c r="L4" s="23">
        <f>L1 + L2</f>
        <v>159918</v>
      </c>
    </row>
    <row r="5">
      <c r="A5" s="64" t="s">
        <v>417</v>
      </c>
      <c r="B5" s="64" t="s">
        <v>200</v>
      </c>
      <c r="C5" s="85" t="s">
        <v>268</v>
      </c>
      <c r="D5" s="67">
        <v>24752.0</v>
      </c>
      <c r="E5" s="106"/>
      <c r="G5" s="69"/>
      <c r="H5" s="66" t="s">
        <v>7</v>
      </c>
      <c r="K5" s="39" t="s">
        <v>114</v>
      </c>
      <c r="L5" s="13">
        <f>L4 - (D32)</f>
        <v>18919</v>
      </c>
    </row>
    <row r="6">
      <c r="A6" s="64" t="s">
        <v>426</v>
      </c>
      <c r="B6" s="64" t="s">
        <v>24</v>
      </c>
      <c r="C6" s="85" t="s">
        <v>268</v>
      </c>
      <c r="D6" s="64">
        <v>3104.0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10875</v>
      </c>
    </row>
    <row r="7">
      <c r="A7" s="75" t="s">
        <v>196</v>
      </c>
      <c r="B7" s="75" t="s">
        <v>8</v>
      </c>
      <c r="C7" s="85" t="s">
        <v>268</v>
      </c>
      <c r="D7" s="75">
        <v>500.0</v>
      </c>
      <c r="E7" s="106"/>
      <c r="G7" s="92"/>
      <c r="H7" s="66" t="s">
        <v>205</v>
      </c>
    </row>
    <row r="8">
      <c r="A8" s="79" t="s">
        <v>47</v>
      </c>
      <c r="B8" s="75" t="s">
        <v>48</v>
      </c>
      <c r="C8" s="85" t="s">
        <v>268</v>
      </c>
      <c r="D8" s="75">
        <v>4000.0</v>
      </c>
      <c r="E8" s="106"/>
      <c r="F8" s="45"/>
      <c r="G8" s="128"/>
      <c r="H8" s="66" t="s">
        <v>277</v>
      </c>
    </row>
    <row r="9">
      <c r="A9" s="75" t="s">
        <v>7</v>
      </c>
      <c r="B9" s="75" t="s">
        <v>7</v>
      </c>
      <c r="C9" s="14" t="s">
        <v>268</v>
      </c>
      <c r="D9" s="75">
        <v>6000.0</v>
      </c>
      <c r="E9" s="106"/>
      <c r="F9" s="45"/>
    </row>
    <row r="10">
      <c r="A10" s="111" t="s">
        <v>270</v>
      </c>
      <c r="B10" s="111" t="s">
        <v>420</v>
      </c>
      <c r="C10" s="14" t="s">
        <v>268</v>
      </c>
      <c r="D10" s="111">
        <v>2500.0</v>
      </c>
      <c r="E10" s="106"/>
    </row>
    <row r="11">
      <c r="A11" s="70" t="s">
        <v>10</v>
      </c>
      <c r="B11" s="70" t="s">
        <v>140</v>
      </c>
      <c r="C11" s="14" t="s">
        <v>268</v>
      </c>
      <c r="D11" s="70">
        <v>5500.0</v>
      </c>
      <c r="E11" s="106"/>
    </row>
    <row r="12">
      <c r="A12" s="64" t="s">
        <v>421</v>
      </c>
      <c r="B12" s="64" t="s">
        <v>24</v>
      </c>
      <c r="C12" s="14" t="s">
        <v>268</v>
      </c>
      <c r="D12" s="64">
        <f>(3556)+(2556)</f>
        <v>6112</v>
      </c>
      <c r="E12" s="106"/>
      <c r="F12" s="45"/>
    </row>
    <row r="13">
      <c r="A13" s="14" t="s">
        <v>429</v>
      </c>
      <c r="B13" s="14" t="s">
        <v>8</v>
      </c>
      <c r="C13" s="85" t="s">
        <v>268</v>
      </c>
      <c r="D13" s="14">
        <v>2178.0</v>
      </c>
      <c r="E13" s="106"/>
      <c r="F13" s="45"/>
      <c r="G13" s="136" t="s">
        <v>405</v>
      </c>
    </row>
    <row r="14">
      <c r="A14" s="64" t="s">
        <v>368</v>
      </c>
      <c r="B14" s="64" t="s">
        <v>200</v>
      </c>
      <c r="C14" s="85" t="s">
        <v>268</v>
      </c>
      <c r="D14" s="67">
        <v>6207.0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106" t="s">
        <v>277</v>
      </c>
      <c r="B15" s="106" t="s">
        <v>48</v>
      </c>
      <c r="C15" s="85" t="s">
        <v>268</v>
      </c>
      <c r="D15" s="106">
        <v>21000.0</v>
      </c>
      <c r="E15" s="107"/>
      <c r="G15" s="14" t="s">
        <v>260</v>
      </c>
    </row>
    <row r="16">
      <c r="A16" s="14" t="s">
        <v>378</v>
      </c>
      <c r="C16" s="85" t="s">
        <v>268</v>
      </c>
      <c r="D16" s="14">
        <v>3000.0</v>
      </c>
      <c r="E16" s="106"/>
      <c r="G16" s="14" t="s">
        <v>393</v>
      </c>
      <c r="I16" s="14">
        <f>139+98</f>
        <v>237</v>
      </c>
    </row>
    <row r="17">
      <c r="A17" s="14" t="s">
        <v>363</v>
      </c>
      <c r="B17" s="14" t="s">
        <v>52</v>
      </c>
      <c r="C17" s="14" t="s">
        <v>268</v>
      </c>
      <c r="D17" s="8">
        <f>I32</f>
        <v>1956</v>
      </c>
      <c r="E17" s="106"/>
      <c r="G17" s="14" t="s">
        <v>367</v>
      </c>
      <c r="I17" s="8">
        <f>73+90+52</f>
        <v>215</v>
      </c>
    </row>
    <row r="18">
      <c r="A18" s="14" t="s">
        <v>64</v>
      </c>
      <c r="C18" s="85" t="s">
        <v>268</v>
      </c>
      <c r="D18" s="8">
        <f>4031+274-5</f>
        <v>4300</v>
      </c>
      <c r="E18" s="107"/>
      <c r="G18" s="14" t="s">
        <v>369</v>
      </c>
      <c r="I18" s="14">
        <f>100+20+30</f>
        <v>150</v>
      </c>
    </row>
    <row r="19">
      <c r="A19" s="14" t="s">
        <v>174</v>
      </c>
      <c r="B19" s="14" t="s">
        <v>92</v>
      </c>
      <c r="C19" s="85" t="s">
        <v>268</v>
      </c>
      <c r="D19" s="14">
        <v>0.0</v>
      </c>
      <c r="E19" s="106"/>
      <c r="G19" s="14" t="s">
        <v>275</v>
      </c>
    </row>
    <row r="20">
      <c r="A20" s="64" t="s">
        <v>115</v>
      </c>
      <c r="B20" s="64" t="s">
        <v>116</v>
      </c>
      <c r="C20" s="14" t="s">
        <v>268</v>
      </c>
      <c r="D20" s="64">
        <v>20000.0</v>
      </c>
      <c r="G20" s="14" t="s">
        <v>95</v>
      </c>
      <c r="I20" s="14">
        <v>-39.0</v>
      </c>
    </row>
    <row r="21">
      <c r="A21" s="64" t="s">
        <v>427</v>
      </c>
      <c r="B21" s="64" t="s">
        <v>24</v>
      </c>
      <c r="C21" s="85" t="s">
        <v>268</v>
      </c>
      <c r="D21" s="64">
        <v>867.0</v>
      </c>
      <c r="G21" s="14" t="s">
        <v>243</v>
      </c>
      <c r="I21" s="8">
        <f>149+180+945</f>
        <v>1274</v>
      </c>
    </row>
    <row r="22">
      <c r="G22" s="14" t="s">
        <v>293</v>
      </c>
      <c r="I22" s="8">
        <f>119</f>
        <v>119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A26" s="106"/>
      <c r="B26" s="106"/>
      <c r="C26" s="107"/>
      <c r="D26" s="106"/>
      <c r="G26" s="14" t="s">
        <v>423</v>
      </c>
    </row>
    <row r="27">
      <c r="A27" s="107"/>
      <c r="B27" s="107"/>
      <c r="C27" s="108"/>
      <c r="D27" s="107"/>
      <c r="E27" s="84"/>
    </row>
    <row r="28">
      <c r="A28" s="107"/>
      <c r="B28" s="107"/>
      <c r="C28" s="108"/>
      <c r="D28" s="107"/>
      <c r="K28" s="32"/>
      <c r="M28" s="50"/>
    </row>
    <row r="29">
      <c r="A29" s="106"/>
      <c r="B29" s="106"/>
      <c r="C29" s="108"/>
      <c r="D29" s="106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140999</v>
      </c>
      <c r="G32" s="33" t="s">
        <v>349</v>
      </c>
      <c r="H32" s="153"/>
      <c r="I32" s="154">
        <f>SUM(I15:I30)</f>
        <v>1956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358</v>
      </c>
      <c r="B38" s="14" t="s">
        <v>52</v>
      </c>
      <c r="C38" s="14" t="s">
        <v>268</v>
      </c>
      <c r="D38" s="14">
        <f>10000-D17</f>
        <v>8044</v>
      </c>
      <c r="E38" s="14"/>
    </row>
    <row r="39">
      <c r="C39" s="85"/>
    </row>
    <row r="50">
      <c r="E50" s="88"/>
    </row>
    <row r="54">
      <c r="C54" s="85"/>
      <c r="H54" s="14"/>
    </row>
    <row r="55">
      <c r="A55" s="14" t="s">
        <v>206</v>
      </c>
      <c r="B55" s="14" t="s">
        <v>140</v>
      </c>
      <c r="C55" s="85" t="s">
        <v>268</v>
      </c>
      <c r="E55" s="14"/>
    </row>
    <row r="68">
      <c r="C68" s="8" t="s">
        <v>39</v>
      </c>
      <c r="D68" s="19">
        <f>SUM(D37:D65)</f>
        <v>8044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</f>
        <v>170000</v>
      </c>
    </row>
    <row r="75">
      <c r="A75" s="14" t="s">
        <v>431</v>
      </c>
      <c r="B75" s="14" t="s">
        <v>38</v>
      </c>
      <c r="D75" s="14">
        <v>15000.0</v>
      </c>
    </row>
    <row r="82">
      <c r="D82" s="8">
        <f>SUM(D71:D76)</f>
        <v>321000</v>
      </c>
    </row>
  </sheetData>
  <mergeCells count="3">
    <mergeCell ref="A1:D1"/>
    <mergeCell ref="G13:I13"/>
    <mergeCell ref="A35:D35"/>
  </mergeCells>
  <dataValidations>
    <dataValidation type="list" allowBlank="1" showErrorMessage="1" sqref="C3:C21 C38:C39 C54:C55">
      <formula1>"Online,Cash"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8494-1507+2200</f>
        <v>9187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155388+1257</f>
        <v>156645</v>
      </c>
    </row>
    <row r="3">
      <c r="A3" s="64" t="s">
        <v>416</v>
      </c>
      <c r="B3" s="64" t="s">
        <v>200</v>
      </c>
      <c r="C3" s="85" t="s">
        <v>268</v>
      </c>
      <c r="D3" s="67">
        <v>10317.0</v>
      </c>
      <c r="E3" s="162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5832.0</v>
      </c>
      <c r="E4" s="106"/>
      <c r="G4" s="68"/>
      <c r="H4" s="66" t="s">
        <v>206</v>
      </c>
      <c r="K4" s="4" t="s">
        <v>13</v>
      </c>
      <c r="L4" s="23">
        <f>L1 + L2</f>
        <v>165832</v>
      </c>
    </row>
    <row r="5">
      <c r="A5" s="64" t="s">
        <v>417</v>
      </c>
      <c r="B5" s="64" t="s">
        <v>200</v>
      </c>
      <c r="C5" s="85" t="s">
        <v>268</v>
      </c>
      <c r="D5" s="67">
        <v>8682.0</v>
      </c>
      <c r="E5" s="106"/>
      <c r="G5" s="69"/>
      <c r="H5" s="66" t="s">
        <v>7</v>
      </c>
      <c r="K5" s="39" t="s">
        <v>114</v>
      </c>
      <c r="L5" s="13">
        <f>L4 - (D32)</f>
        <v>9734</v>
      </c>
    </row>
    <row r="6">
      <c r="A6" s="106" t="s">
        <v>277</v>
      </c>
      <c r="B6" s="106" t="s">
        <v>48</v>
      </c>
      <c r="C6" s="85" t="s">
        <v>268</v>
      </c>
      <c r="D6" s="106">
        <v>25000.0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5641</v>
      </c>
    </row>
    <row r="7">
      <c r="A7" s="14" t="s">
        <v>378</v>
      </c>
      <c r="C7" s="85" t="s">
        <v>268</v>
      </c>
      <c r="D7" s="14">
        <v>3000.0</v>
      </c>
      <c r="E7" s="106"/>
      <c r="G7" s="92"/>
      <c r="H7" s="66" t="s">
        <v>205</v>
      </c>
    </row>
    <row r="8">
      <c r="A8" s="14" t="s">
        <v>433</v>
      </c>
      <c r="D8" s="14">
        <v>699.0</v>
      </c>
      <c r="E8" s="106"/>
      <c r="F8" s="45"/>
      <c r="G8" s="128"/>
      <c r="H8" s="66" t="s">
        <v>277</v>
      </c>
    </row>
    <row r="9">
      <c r="A9" s="75" t="s">
        <v>196</v>
      </c>
      <c r="B9" s="75" t="s">
        <v>8</v>
      </c>
      <c r="C9" s="85" t="s">
        <v>268</v>
      </c>
      <c r="D9" s="75">
        <v>500.0</v>
      </c>
      <c r="E9" s="106"/>
      <c r="F9" s="45"/>
    </row>
    <row r="10">
      <c r="A10" s="64" t="s">
        <v>426</v>
      </c>
      <c r="B10" s="64" t="s">
        <v>24</v>
      </c>
      <c r="C10" s="85" t="s">
        <v>268</v>
      </c>
      <c r="D10" s="64">
        <v>3104.0</v>
      </c>
      <c r="E10" s="106"/>
    </row>
    <row r="11">
      <c r="A11" s="14" t="s">
        <v>363</v>
      </c>
      <c r="D11" s="8">
        <f>I32</f>
        <v>5907</v>
      </c>
      <c r="E11" s="106"/>
    </row>
    <row r="12">
      <c r="A12" s="111" t="s">
        <v>270</v>
      </c>
      <c r="B12" s="111" t="s">
        <v>420</v>
      </c>
      <c r="C12" s="14" t="s">
        <v>268</v>
      </c>
      <c r="D12" s="111">
        <v>2500.0</v>
      </c>
      <c r="E12" s="106"/>
      <c r="F12" s="45"/>
    </row>
    <row r="13">
      <c r="A13" s="70" t="s">
        <v>10</v>
      </c>
      <c r="B13" s="70" t="s">
        <v>140</v>
      </c>
      <c r="C13" s="14" t="s">
        <v>268</v>
      </c>
      <c r="D13" s="70">
        <v>5500.0</v>
      </c>
      <c r="E13" s="106"/>
      <c r="F13" s="45"/>
      <c r="G13" s="136" t="s">
        <v>405</v>
      </c>
    </row>
    <row r="14">
      <c r="A14" s="64" t="s">
        <v>421</v>
      </c>
      <c r="B14" s="64" t="s">
        <v>24</v>
      </c>
      <c r="C14" s="14" t="s">
        <v>268</v>
      </c>
      <c r="D14" s="64">
        <f>(3556)+(2556)</f>
        <v>6112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429</v>
      </c>
      <c r="B15" s="14" t="s">
        <v>8</v>
      </c>
      <c r="C15" s="85" t="s">
        <v>268</v>
      </c>
      <c r="D15" s="14">
        <v>2178.0</v>
      </c>
      <c r="E15" s="107"/>
      <c r="G15" s="14" t="s">
        <v>260</v>
      </c>
    </row>
    <row r="16">
      <c r="A16" s="14" t="s">
        <v>64</v>
      </c>
      <c r="C16" s="85" t="s">
        <v>268</v>
      </c>
      <c r="D16" s="14">
        <v>275.0</v>
      </c>
      <c r="E16" s="106"/>
      <c r="G16" s="14" t="s">
        <v>393</v>
      </c>
      <c r="I16" s="8">
        <f>135+139+122+119</f>
        <v>515</v>
      </c>
    </row>
    <row r="17">
      <c r="A17" s="14" t="s">
        <v>206</v>
      </c>
      <c r="B17" s="14" t="s">
        <v>52</v>
      </c>
      <c r="C17" s="14" t="s">
        <v>268</v>
      </c>
      <c r="D17" s="14">
        <f>32000+300</f>
        <v>32300</v>
      </c>
      <c r="E17" s="106"/>
      <c r="G17" s="14" t="s">
        <v>367</v>
      </c>
      <c r="I17" s="8">
        <f>40+242+227+200+40+40+50+40+43+100+54+435+115+242+47+40+47+40+53</f>
        <v>2095</v>
      </c>
    </row>
    <row r="18">
      <c r="A18" s="79" t="s">
        <v>47</v>
      </c>
      <c r="B18" s="75" t="s">
        <v>48</v>
      </c>
      <c r="C18" s="85" t="s">
        <v>268</v>
      </c>
      <c r="D18" s="75">
        <v>4000.0</v>
      </c>
      <c r="E18" s="107"/>
      <c r="G18" s="14" t="s">
        <v>369</v>
      </c>
    </row>
    <row r="19">
      <c r="A19" s="75" t="s">
        <v>7</v>
      </c>
      <c r="B19" s="75" t="s">
        <v>7</v>
      </c>
      <c r="C19" s="14" t="s">
        <v>268</v>
      </c>
      <c r="D19" s="75">
        <v>8000.0</v>
      </c>
      <c r="E19" s="106"/>
      <c r="G19" s="14" t="s">
        <v>275</v>
      </c>
    </row>
    <row r="20">
      <c r="A20" s="64" t="s">
        <v>368</v>
      </c>
      <c r="B20" s="64" t="s">
        <v>200</v>
      </c>
      <c r="C20" s="85" t="s">
        <v>268</v>
      </c>
      <c r="D20" s="67">
        <v>6554.0</v>
      </c>
      <c r="G20" s="14" t="s">
        <v>95</v>
      </c>
      <c r="I20" s="8">
        <f>300</f>
        <v>300</v>
      </c>
    </row>
    <row r="21">
      <c r="A21" s="64" t="s">
        <v>115</v>
      </c>
      <c r="B21" s="64" t="s">
        <v>116</v>
      </c>
      <c r="C21" s="14" t="s">
        <v>268</v>
      </c>
      <c r="D21" s="64">
        <v>20000.0</v>
      </c>
      <c r="G21" s="14" t="s">
        <v>243</v>
      </c>
      <c r="I21" s="8">
        <f>220+120</f>
        <v>340</v>
      </c>
    </row>
    <row r="22">
      <c r="A22" s="14" t="s">
        <v>434</v>
      </c>
      <c r="B22" s="14" t="s">
        <v>116</v>
      </c>
      <c r="C22" s="14" t="s">
        <v>268</v>
      </c>
      <c r="D22" s="14">
        <v>2300.0</v>
      </c>
      <c r="G22" s="14" t="s">
        <v>293</v>
      </c>
      <c r="I22" s="8">
        <f>140</f>
        <v>140</v>
      </c>
    </row>
    <row r="23">
      <c r="A23" s="14" t="s">
        <v>435</v>
      </c>
      <c r="B23" s="14" t="s">
        <v>48</v>
      </c>
      <c r="C23" s="14" t="s">
        <v>268</v>
      </c>
      <c r="D23" s="14">
        <v>1000.0</v>
      </c>
      <c r="G23" s="14" t="s">
        <v>422</v>
      </c>
      <c r="I23" s="8">
        <f>264+220</f>
        <v>484</v>
      </c>
    </row>
    <row r="24">
      <c r="A24" s="14" t="s">
        <v>436</v>
      </c>
      <c r="B24" s="14" t="s">
        <v>94</v>
      </c>
      <c r="C24" s="14" t="s">
        <v>268</v>
      </c>
      <c r="D24" s="14">
        <v>500.0</v>
      </c>
      <c r="G24" s="14" t="s">
        <v>197</v>
      </c>
      <c r="I24" s="8">
        <f>110</f>
        <v>110</v>
      </c>
    </row>
    <row r="25">
      <c r="A25" s="64" t="s">
        <v>427</v>
      </c>
      <c r="B25" s="64" t="s">
        <v>24</v>
      </c>
      <c r="C25" s="85" t="s">
        <v>268</v>
      </c>
      <c r="D25" s="64">
        <v>911.0</v>
      </c>
      <c r="G25" s="14" t="s">
        <v>229</v>
      </c>
    </row>
    <row r="26">
      <c r="A26" s="106" t="s">
        <v>437</v>
      </c>
      <c r="B26" s="106" t="s">
        <v>24</v>
      </c>
      <c r="C26" s="85" t="s">
        <v>268</v>
      </c>
      <c r="D26" s="106">
        <f>199+189</f>
        <v>388</v>
      </c>
      <c r="G26" s="14" t="s">
        <v>438</v>
      </c>
      <c r="I26" s="14">
        <v>600.0</v>
      </c>
    </row>
    <row r="27">
      <c r="A27" s="106" t="s">
        <v>195</v>
      </c>
      <c r="B27" s="106" t="s">
        <v>24</v>
      </c>
      <c r="C27" s="85" t="s">
        <v>268</v>
      </c>
      <c r="D27" s="107">
        <f>77+189-1</f>
        <v>265</v>
      </c>
      <c r="E27" s="84"/>
      <c r="G27" s="14" t="s">
        <v>439</v>
      </c>
      <c r="I27" s="14">
        <v>280.0</v>
      </c>
    </row>
    <row r="28">
      <c r="A28" s="106" t="s">
        <v>222</v>
      </c>
      <c r="B28" s="106" t="s">
        <v>48</v>
      </c>
      <c r="C28" s="85" t="s">
        <v>268</v>
      </c>
      <c r="D28" s="106">
        <v>274.0</v>
      </c>
      <c r="G28" s="106" t="s">
        <v>440</v>
      </c>
      <c r="H28" s="106"/>
      <c r="I28" s="106">
        <v>1043.0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156098</v>
      </c>
      <c r="G32" s="33" t="s">
        <v>349</v>
      </c>
      <c r="H32" s="153"/>
      <c r="I32" s="154">
        <f>SUM(I15:I30)</f>
        <v>5907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441</v>
      </c>
      <c r="B38" s="14" t="s">
        <v>52</v>
      </c>
      <c r="C38" s="14" t="s">
        <v>268</v>
      </c>
      <c r="D38" s="14">
        <f>10000-D11</f>
        <v>4093</v>
      </c>
      <c r="E38" s="14"/>
    </row>
    <row r="46">
      <c r="A46" s="106"/>
      <c r="B46" s="106"/>
      <c r="C46" s="107"/>
      <c r="D46" s="106"/>
    </row>
    <row r="47">
      <c r="A47" s="106"/>
      <c r="B47" s="106"/>
      <c r="C47" s="107"/>
      <c r="D47" s="106"/>
    </row>
    <row r="48">
      <c r="A48" s="106"/>
      <c r="B48" s="106"/>
      <c r="C48" s="107"/>
      <c r="D48" s="106"/>
    </row>
    <row r="49">
      <c r="A49" s="107"/>
      <c r="B49" s="107"/>
      <c r="C49" s="127"/>
      <c r="D49" s="107"/>
    </row>
    <row r="50">
      <c r="E50" s="88"/>
    </row>
    <row r="54">
      <c r="H54" s="14"/>
    </row>
    <row r="55">
      <c r="C55" s="127"/>
      <c r="E55" s="14"/>
    </row>
    <row r="68">
      <c r="C68" s="8" t="s">
        <v>39</v>
      </c>
      <c r="D68" s="19">
        <f>SUM(D37:D65)</f>
        <v>4093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</f>
        <v>170000</v>
      </c>
    </row>
    <row r="75">
      <c r="A75" s="14" t="s">
        <v>431</v>
      </c>
      <c r="B75" s="14" t="s">
        <v>38</v>
      </c>
      <c r="D75" s="14">
        <v>15000.0</v>
      </c>
    </row>
    <row r="82">
      <c r="D82" s="8">
        <f>SUM(D71:D76)</f>
        <v>321000</v>
      </c>
    </row>
  </sheetData>
  <mergeCells count="3">
    <mergeCell ref="A1:D1"/>
    <mergeCell ref="G13:I13"/>
    <mergeCell ref="A35:D35"/>
  </mergeCells>
  <dataValidations>
    <dataValidation type="list" allowBlank="1" showErrorMessage="1" sqref="C3:C7 C9:C10 C12:C28 C38">
      <formula1>"Online,Cash"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1520+2272</f>
        <v>3792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155243+1357</f>
        <v>156600</v>
      </c>
    </row>
    <row r="3">
      <c r="A3" s="64" t="s">
        <v>416</v>
      </c>
      <c r="B3" s="64" t="s">
        <v>200</v>
      </c>
      <c r="C3" s="85" t="s">
        <v>268</v>
      </c>
      <c r="D3" s="67">
        <v>11059.0</v>
      </c>
      <c r="E3" s="162"/>
      <c r="G3" s="65"/>
      <c r="H3" s="66" t="s">
        <v>269</v>
      </c>
    </row>
    <row r="4">
      <c r="A4" s="64" t="s">
        <v>201</v>
      </c>
      <c r="B4" s="64" t="s">
        <v>200</v>
      </c>
      <c r="C4" s="85" t="s">
        <v>268</v>
      </c>
      <c r="D4" s="67">
        <v>4285.0</v>
      </c>
      <c r="E4" s="106"/>
      <c r="G4" s="68"/>
      <c r="H4" s="66" t="s">
        <v>206</v>
      </c>
      <c r="K4" s="4" t="s">
        <v>13</v>
      </c>
      <c r="L4" s="23">
        <f>L1 + L2</f>
        <v>160392</v>
      </c>
    </row>
    <row r="5">
      <c r="A5" s="64" t="s">
        <v>417</v>
      </c>
      <c r="B5" s="64" t="s">
        <v>200</v>
      </c>
      <c r="C5" s="85" t="s">
        <v>268</v>
      </c>
      <c r="D5" s="67">
        <v>9890.0</v>
      </c>
      <c r="E5" s="106"/>
      <c r="G5" s="69"/>
      <c r="H5" s="66" t="s">
        <v>7</v>
      </c>
      <c r="K5" s="39" t="s">
        <v>114</v>
      </c>
      <c r="L5" s="13">
        <f>L4 - (D32)</f>
        <v>16964</v>
      </c>
    </row>
    <row r="6">
      <c r="A6" s="106" t="s">
        <v>277</v>
      </c>
      <c r="B6" s="106" t="s">
        <v>48</v>
      </c>
      <c r="C6" s="85" t="s">
        <v>268</v>
      </c>
      <c r="D6" s="106">
        <v>25000.0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6964</v>
      </c>
    </row>
    <row r="7">
      <c r="A7" s="14" t="s">
        <v>51</v>
      </c>
      <c r="B7" s="14" t="s">
        <v>48</v>
      </c>
      <c r="C7" s="85" t="s">
        <v>51</v>
      </c>
      <c r="D7" s="14">
        <v>11000.0</v>
      </c>
      <c r="E7" s="106"/>
      <c r="G7" s="92"/>
      <c r="H7" s="66" t="s">
        <v>205</v>
      </c>
    </row>
    <row r="8">
      <c r="A8" s="75" t="s">
        <v>196</v>
      </c>
      <c r="B8" s="75" t="s">
        <v>8</v>
      </c>
      <c r="C8" s="85" t="s">
        <v>268</v>
      </c>
      <c r="D8" s="75">
        <v>500.0</v>
      </c>
      <c r="E8" s="106"/>
      <c r="F8" s="45"/>
      <c r="G8" s="128"/>
      <c r="H8" s="66" t="s">
        <v>277</v>
      </c>
    </row>
    <row r="9">
      <c r="A9" s="111" t="s">
        <v>270</v>
      </c>
      <c r="B9" s="111" t="s">
        <v>420</v>
      </c>
      <c r="C9" s="14" t="s">
        <v>268</v>
      </c>
      <c r="D9" s="111">
        <v>2500.0</v>
      </c>
      <c r="E9" s="106"/>
      <c r="F9" s="45"/>
    </row>
    <row r="10">
      <c r="A10" s="70" t="s">
        <v>10</v>
      </c>
      <c r="B10" s="70" t="s">
        <v>140</v>
      </c>
      <c r="C10" s="14" t="s">
        <v>268</v>
      </c>
      <c r="D10" s="70">
        <v>5500.0</v>
      </c>
      <c r="E10" s="106"/>
    </row>
    <row r="11">
      <c r="A11" s="64" t="s">
        <v>421</v>
      </c>
      <c r="B11" s="64" t="s">
        <v>24</v>
      </c>
      <c r="C11" s="14" t="s">
        <v>268</v>
      </c>
      <c r="D11" s="64">
        <f>(3556)+(2556)</f>
        <v>6112</v>
      </c>
      <c r="E11" s="106"/>
    </row>
    <row r="12">
      <c r="A12" s="14" t="s">
        <v>429</v>
      </c>
      <c r="B12" s="14" t="s">
        <v>8</v>
      </c>
      <c r="C12" s="85" t="s">
        <v>268</v>
      </c>
      <c r="D12" s="14">
        <v>2178.0</v>
      </c>
      <c r="E12" s="106"/>
      <c r="F12" s="45"/>
    </row>
    <row r="13">
      <c r="A13" s="14" t="s">
        <v>206</v>
      </c>
      <c r="B13" s="14" t="s">
        <v>52</v>
      </c>
      <c r="C13" s="14" t="s">
        <v>268</v>
      </c>
      <c r="D13" s="14">
        <v>20000.0</v>
      </c>
      <c r="E13" s="106"/>
      <c r="F13" s="45"/>
      <c r="G13" s="136" t="s">
        <v>405</v>
      </c>
    </row>
    <row r="14">
      <c r="A14" s="14" t="s">
        <v>405</v>
      </c>
      <c r="B14" s="14" t="s">
        <v>52</v>
      </c>
      <c r="C14" s="14" t="s">
        <v>268</v>
      </c>
      <c r="D14" s="8">
        <f>I32</f>
        <v>3594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79" t="s">
        <v>47</v>
      </c>
      <c r="B15" s="75" t="s">
        <v>48</v>
      </c>
      <c r="C15" s="85" t="s">
        <v>268</v>
      </c>
      <c r="D15" s="75">
        <v>4000.0</v>
      </c>
      <c r="E15" s="107"/>
      <c r="G15" s="14" t="s">
        <v>260</v>
      </c>
    </row>
    <row r="16">
      <c r="A16" s="64" t="s">
        <v>368</v>
      </c>
      <c r="B16" s="64" t="s">
        <v>200</v>
      </c>
      <c r="C16" s="85" t="s">
        <v>268</v>
      </c>
      <c r="D16" s="67">
        <v>5820.0</v>
      </c>
      <c r="E16" s="106"/>
      <c r="G16" s="14" t="s">
        <v>393</v>
      </c>
      <c r="I16" s="8">
        <f>135</f>
        <v>135</v>
      </c>
    </row>
    <row r="17">
      <c r="A17" s="75" t="s">
        <v>7</v>
      </c>
      <c r="B17" s="75" t="s">
        <v>7</v>
      </c>
      <c r="C17" s="14" t="s">
        <v>268</v>
      </c>
      <c r="D17" s="75">
        <v>4000.0</v>
      </c>
      <c r="E17" s="106"/>
      <c r="G17" s="14" t="s">
        <v>367</v>
      </c>
      <c r="I17" s="8">
        <f>290+220+57+40+1250</f>
        <v>1857</v>
      </c>
    </row>
    <row r="18">
      <c r="A18" s="64" t="s">
        <v>426</v>
      </c>
      <c r="B18" s="64" t="s">
        <v>24</v>
      </c>
      <c r="C18" s="85" t="s">
        <v>268</v>
      </c>
      <c r="D18" s="64">
        <v>1983.0</v>
      </c>
      <c r="E18" s="107"/>
      <c r="G18" s="14" t="s">
        <v>369</v>
      </c>
    </row>
    <row r="19">
      <c r="A19" s="64" t="s">
        <v>115</v>
      </c>
      <c r="B19" s="64" t="s">
        <v>116</v>
      </c>
      <c r="C19" s="14" t="s">
        <v>268</v>
      </c>
      <c r="D19" s="64">
        <v>20000.0</v>
      </c>
      <c r="E19" s="106"/>
      <c r="G19" s="14" t="s">
        <v>275</v>
      </c>
    </row>
    <row r="20">
      <c r="A20" s="14" t="s">
        <v>442</v>
      </c>
      <c r="C20" s="85" t="s">
        <v>268</v>
      </c>
      <c r="D20" s="14">
        <v>5000.0</v>
      </c>
      <c r="G20" s="14" t="s">
        <v>95</v>
      </c>
      <c r="I20" s="14">
        <f>160+517</f>
        <v>677</v>
      </c>
    </row>
    <row r="21">
      <c r="A21" s="14" t="s">
        <v>400</v>
      </c>
      <c r="D21" s="8">
        <f>189</f>
        <v>189</v>
      </c>
      <c r="G21" s="14" t="s">
        <v>243</v>
      </c>
      <c r="I21" s="8">
        <f>185</f>
        <v>185</v>
      </c>
    </row>
    <row r="22">
      <c r="A22" s="64" t="s">
        <v>427</v>
      </c>
      <c r="B22" s="64" t="s">
        <v>24</v>
      </c>
      <c r="C22" s="85" t="s">
        <v>268</v>
      </c>
      <c r="D22" s="64">
        <v>818.0</v>
      </c>
      <c r="G22" s="14" t="s">
        <v>293</v>
      </c>
      <c r="I22" s="8">
        <f>200+30</f>
        <v>230</v>
      </c>
    </row>
    <row r="23">
      <c r="G23" s="14" t="s">
        <v>422</v>
      </c>
    </row>
    <row r="24">
      <c r="G24" s="14" t="s">
        <v>197</v>
      </c>
      <c r="I24" s="8">
        <f>110</f>
        <v>110</v>
      </c>
    </row>
    <row r="25">
      <c r="G25" s="14" t="s">
        <v>229</v>
      </c>
    </row>
    <row r="26">
      <c r="G26" s="106" t="s">
        <v>440</v>
      </c>
      <c r="H26" s="106"/>
      <c r="I26" s="106"/>
      <c r="L26" s="14">
        <v>16964.0</v>
      </c>
    </row>
    <row r="27">
      <c r="A27" s="106"/>
      <c r="B27" s="106"/>
      <c r="C27" s="85"/>
      <c r="D27" s="107"/>
      <c r="E27" s="84"/>
      <c r="G27" s="14" t="s">
        <v>443</v>
      </c>
      <c r="I27" s="14">
        <v>400.0</v>
      </c>
    </row>
    <row r="28">
      <c r="A28" s="106"/>
      <c r="B28" s="106"/>
      <c r="C28" s="85"/>
      <c r="D28" s="106"/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143428</v>
      </c>
      <c r="G32" s="33" t="s">
        <v>349</v>
      </c>
      <c r="H32" s="153"/>
      <c r="I32" s="154">
        <f>SUM(I15:I30)</f>
        <v>3594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441</v>
      </c>
      <c r="B38" s="14" t="s">
        <v>52</v>
      </c>
      <c r="C38" s="14" t="s">
        <v>268</v>
      </c>
      <c r="D38" s="14">
        <f>10000-D41</f>
        <v>3594</v>
      </c>
      <c r="E38" s="14"/>
    </row>
    <row r="39">
      <c r="A39" s="14" t="s">
        <v>378</v>
      </c>
      <c r="B39" s="14" t="s">
        <v>92</v>
      </c>
      <c r="C39" s="85" t="s">
        <v>268</v>
      </c>
      <c r="D39" s="14">
        <v>0.0</v>
      </c>
    </row>
    <row r="41">
      <c r="A41" s="14" t="s">
        <v>363</v>
      </c>
      <c r="D41" s="14">
        <f>10000-I32</f>
        <v>6406</v>
      </c>
    </row>
    <row r="45">
      <c r="C45" s="8"/>
    </row>
    <row r="47">
      <c r="A47" s="106"/>
      <c r="B47" s="106"/>
      <c r="C47" s="85"/>
      <c r="D47" s="106"/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10000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</f>
        <v>170000</v>
      </c>
    </row>
    <row r="82">
      <c r="D82" s="8">
        <f>SUM(D71:D76)</f>
        <v>306000</v>
      </c>
    </row>
  </sheetData>
  <mergeCells count="3">
    <mergeCell ref="A1:D1"/>
    <mergeCell ref="G13:I13"/>
    <mergeCell ref="A35:D35"/>
  </mergeCells>
  <dataValidations>
    <dataValidation type="list" allowBlank="1" showErrorMessage="1" sqref="C3:C20 C22 C38:C39 C45 C47">
      <formula1>"Online,Cash"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12483.0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f>167009+1357</f>
        <v>168366</v>
      </c>
    </row>
    <row r="3">
      <c r="A3" s="64" t="s">
        <v>416</v>
      </c>
      <c r="B3" s="64" t="s">
        <v>200</v>
      </c>
      <c r="C3" s="85" t="s">
        <v>268</v>
      </c>
      <c r="D3" s="67">
        <v>10813.0</v>
      </c>
      <c r="E3" s="162"/>
      <c r="G3" s="65"/>
      <c r="H3" s="66" t="s">
        <v>269</v>
      </c>
    </row>
    <row r="4">
      <c r="A4" s="14" t="s">
        <v>444</v>
      </c>
      <c r="B4" s="14" t="s">
        <v>24</v>
      </c>
      <c r="C4" s="85" t="s">
        <v>268</v>
      </c>
      <c r="D4" s="14">
        <v>1178.0</v>
      </c>
      <c r="E4" s="106"/>
      <c r="G4" s="68"/>
      <c r="H4" s="66" t="s">
        <v>206</v>
      </c>
      <c r="K4" s="4" t="s">
        <v>13</v>
      </c>
      <c r="L4" s="23">
        <f>L1 + L2</f>
        <v>180849</v>
      </c>
    </row>
    <row r="5">
      <c r="A5" s="14" t="s">
        <v>405</v>
      </c>
      <c r="B5" s="14" t="s">
        <v>52</v>
      </c>
      <c r="C5" s="85" t="s">
        <v>268</v>
      </c>
      <c r="D5" s="8">
        <f>I32</f>
        <v>2588</v>
      </c>
      <c r="E5" s="106"/>
      <c r="G5" s="69"/>
      <c r="H5" s="66" t="s">
        <v>7</v>
      </c>
      <c r="K5" s="39" t="s">
        <v>114</v>
      </c>
      <c r="L5" s="13">
        <f>L4 - (D32)</f>
        <v>19319</v>
      </c>
    </row>
    <row r="6">
      <c r="A6" s="64" t="s">
        <v>201</v>
      </c>
      <c r="B6" s="64" t="s">
        <v>200</v>
      </c>
      <c r="C6" s="85" t="s">
        <v>268</v>
      </c>
      <c r="D6" s="67">
        <v>19131.0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111</v>
      </c>
    </row>
    <row r="7">
      <c r="A7" s="14" t="s">
        <v>205</v>
      </c>
      <c r="B7" s="14" t="s">
        <v>92</v>
      </c>
      <c r="C7" s="85" t="s">
        <v>268</v>
      </c>
      <c r="D7" s="8">
        <f>15522</f>
        <v>15522</v>
      </c>
      <c r="E7" s="106"/>
      <c r="G7" s="92"/>
      <c r="H7" s="66" t="s">
        <v>205</v>
      </c>
    </row>
    <row r="8">
      <c r="A8" s="79" t="s">
        <v>47</v>
      </c>
      <c r="B8" s="75" t="s">
        <v>48</v>
      </c>
      <c r="C8" s="85" t="s">
        <v>268</v>
      </c>
      <c r="D8" s="75">
        <v>4000.0</v>
      </c>
      <c r="E8" s="106"/>
      <c r="F8" s="45"/>
      <c r="G8" s="128"/>
      <c r="H8" s="66" t="s">
        <v>277</v>
      </c>
    </row>
    <row r="9">
      <c r="A9" s="75" t="s">
        <v>7</v>
      </c>
      <c r="B9" s="75" t="s">
        <v>7</v>
      </c>
      <c r="C9" s="14" t="s">
        <v>268</v>
      </c>
      <c r="D9" s="75">
        <v>4000.0</v>
      </c>
      <c r="E9" s="106"/>
      <c r="F9" s="45"/>
    </row>
    <row r="10">
      <c r="A10" s="64" t="s">
        <v>426</v>
      </c>
      <c r="B10" s="64" t="s">
        <v>24</v>
      </c>
      <c r="C10" s="85" t="s">
        <v>268</v>
      </c>
      <c r="D10" s="64">
        <v>1982.0</v>
      </c>
      <c r="E10" s="106"/>
    </row>
    <row r="11">
      <c r="A11" s="106" t="s">
        <v>277</v>
      </c>
      <c r="B11" s="106" t="s">
        <v>48</v>
      </c>
      <c r="C11" s="85" t="s">
        <v>268</v>
      </c>
      <c r="D11" s="106">
        <v>25000.0</v>
      </c>
      <c r="E11" s="106"/>
    </row>
    <row r="12">
      <c r="A12" s="111" t="s">
        <v>270</v>
      </c>
      <c r="B12" s="111" t="s">
        <v>420</v>
      </c>
      <c r="C12" s="14" t="s">
        <v>268</v>
      </c>
      <c r="D12" s="111">
        <v>2500.0</v>
      </c>
      <c r="E12" s="106"/>
      <c r="F12" s="45"/>
    </row>
    <row r="13">
      <c r="A13" s="70" t="s">
        <v>10</v>
      </c>
      <c r="B13" s="70" t="s">
        <v>140</v>
      </c>
      <c r="C13" s="14" t="s">
        <v>268</v>
      </c>
      <c r="D13" s="70">
        <v>5500.0</v>
      </c>
      <c r="E13" s="106"/>
      <c r="F13" s="45"/>
      <c r="G13" s="136" t="s">
        <v>405</v>
      </c>
    </row>
    <row r="14">
      <c r="A14" s="64" t="s">
        <v>421</v>
      </c>
      <c r="B14" s="64" t="s">
        <v>24</v>
      </c>
      <c r="C14" s="14" t="s">
        <v>268</v>
      </c>
      <c r="D14" s="64">
        <f>(3556)+(2556)</f>
        <v>6112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429</v>
      </c>
      <c r="B15" s="14" t="s">
        <v>8</v>
      </c>
      <c r="C15" s="85" t="s">
        <v>268</v>
      </c>
      <c r="D15" s="14">
        <v>2178.0</v>
      </c>
      <c r="E15" s="107"/>
      <c r="G15" s="14" t="s">
        <v>260</v>
      </c>
    </row>
    <row r="16">
      <c r="A16" s="64" t="s">
        <v>417</v>
      </c>
      <c r="B16" s="64" t="s">
        <v>200</v>
      </c>
      <c r="C16" s="85" t="s">
        <v>268</v>
      </c>
      <c r="D16" s="67">
        <v>14656.0</v>
      </c>
      <c r="E16" s="106"/>
      <c r="G16" s="14" t="s">
        <v>393</v>
      </c>
      <c r="I16" s="8">
        <f>177+193</f>
        <v>370</v>
      </c>
    </row>
    <row r="17">
      <c r="A17" s="14" t="s">
        <v>64</v>
      </c>
      <c r="B17" s="14" t="s">
        <v>52</v>
      </c>
      <c r="C17" s="85" t="s">
        <v>268</v>
      </c>
      <c r="D17" s="14">
        <v>1370.0</v>
      </c>
      <c r="E17" s="106"/>
      <c r="G17" s="14" t="s">
        <v>367</v>
      </c>
      <c r="I17" s="8">
        <f>290+221+255+285+40+40+40+46</f>
        <v>1217</v>
      </c>
    </row>
    <row r="18">
      <c r="A18" s="14" t="s">
        <v>206</v>
      </c>
      <c r="B18" s="14" t="s">
        <v>140</v>
      </c>
      <c r="C18" s="85" t="s">
        <v>268</v>
      </c>
      <c r="D18" s="14">
        <v>45000.0</v>
      </c>
      <c r="E18" s="107"/>
      <c r="G18" s="14" t="s">
        <v>369</v>
      </c>
      <c r="I18" s="8">
        <f>200</f>
        <v>200</v>
      </c>
    </row>
    <row r="19">
      <c r="E19" s="106"/>
      <c r="G19" s="14" t="s">
        <v>275</v>
      </c>
    </row>
    <row r="20">
      <c r="G20" s="14" t="s">
        <v>95</v>
      </c>
    </row>
    <row r="21">
      <c r="G21" s="14" t="s">
        <v>243</v>
      </c>
      <c r="I21" s="8">
        <f>172+440</f>
        <v>612</v>
      </c>
    </row>
    <row r="22">
      <c r="G22" s="14" t="s">
        <v>293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G26" s="106" t="s">
        <v>440</v>
      </c>
      <c r="H26" s="106"/>
      <c r="I26" s="106"/>
      <c r="L26" s="14">
        <v>16964.0</v>
      </c>
    </row>
    <row r="27">
      <c r="A27" s="106"/>
      <c r="B27" s="106"/>
      <c r="C27" s="85"/>
      <c r="D27" s="107"/>
      <c r="E27" s="84"/>
    </row>
    <row r="28">
      <c r="A28" s="106"/>
      <c r="B28" s="106"/>
      <c r="C28" s="85"/>
      <c r="D28" s="106"/>
      <c r="G28" s="14" t="s">
        <v>195</v>
      </c>
      <c r="I28" s="8">
        <f>189</f>
        <v>189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161530</v>
      </c>
      <c r="G32" s="33" t="s">
        <v>349</v>
      </c>
      <c r="H32" s="153"/>
      <c r="I32" s="154">
        <f>SUM(I15:I30)</f>
        <v>2588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441</v>
      </c>
      <c r="B38" s="14" t="s">
        <v>52</v>
      </c>
      <c r="C38" s="14" t="s">
        <v>268</v>
      </c>
      <c r="D38" s="14">
        <f>10000-D5</f>
        <v>7412</v>
      </c>
      <c r="E38" s="14"/>
    </row>
    <row r="39">
      <c r="A39" s="75" t="s">
        <v>196</v>
      </c>
      <c r="B39" s="75" t="s">
        <v>8</v>
      </c>
      <c r="C39" s="85" t="s">
        <v>268</v>
      </c>
      <c r="D39" s="75">
        <v>500.0</v>
      </c>
    </row>
    <row r="41">
      <c r="A41" s="64" t="s">
        <v>368</v>
      </c>
      <c r="B41" s="64" t="s">
        <v>200</v>
      </c>
      <c r="C41" s="85" t="s">
        <v>268</v>
      </c>
      <c r="D41" s="67">
        <v>6000.0</v>
      </c>
    </row>
    <row r="42">
      <c r="A42" s="64" t="s">
        <v>115</v>
      </c>
      <c r="B42" s="64" t="s">
        <v>116</v>
      </c>
      <c r="C42" s="14" t="s">
        <v>268</v>
      </c>
      <c r="D42" s="64">
        <v>20000.0</v>
      </c>
    </row>
    <row r="43">
      <c r="A43" s="64" t="s">
        <v>427</v>
      </c>
      <c r="B43" s="64" t="s">
        <v>24</v>
      </c>
      <c r="C43" s="85" t="s">
        <v>268</v>
      </c>
      <c r="D43" s="64">
        <v>818.0</v>
      </c>
    </row>
    <row r="50">
      <c r="E50" s="88"/>
    </row>
    <row r="54">
      <c r="H54" s="14"/>
    </row>
    <row r="55">
      <c r="E55" s="14"/>
    </row>
    <row r="57">
      <c r="C57" s="55"/>
    </row>
    <row r="68">
      <c r="C68" s="8" t="s">
        <v>39</v>
      </c>
      <c r="D68" s="19">
        <f>SUM(D37:D65)</f>
        <v>34730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270000-100000-100000</f>
        <v>70000</v>
      </c>
    </row>
    <row r="75">
      <c r="A75" s="14" t="s">
        <v>445</v>
      </c>
      <c r="B75" s="14" t="s">
        <v>38</v>
      </c>
      <c r="D75" s="14">
        <v>100000.0</v>
      </c>
    </row>
    <row r="82">
      <c r="D82" s="8">
        <f>SUM(D71:D76)</f>
        <v>306000</v>
      </c>
    </row>
  </sheetData>
  <mergeCells count="3">
    <mergeCell ref="A1:D1"/>
    <mergeCell ref="G13:I13"/>
    <mergeCell ref="A35:D35"/>
  </mergeCells>
  <dataValidations>
    <dataValidation type="list" allowBlank="1" showErrorMessage="1" sqref="C3:C18 C38:C39 C41:C43">
      <formula1>"Online,Cash"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704.0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155243.0</v>
      </c>
    </row>
    <row r="3">
      <c r="A3" s="64" t="s">
        <v>416</v>
      </c>
      <c r="B3" s="64" t="s">
        <v>200</v>
      </c>
      <c r="C3" s="85" t="s">
        <v>268</v>
      </c>
      <c r="D3" s="67">
        <v>7145.0</v>
      </c>
      <c r="E3" s="162"/>
      <c r="G3" s="65"/>
      <c r="H3" s="66" t="s">
        <v>269</v>
      </c>
    </row>
    <row r="4">
      <c r="A4" s="14" t="s">
        <v>444</v>
      </c>
      <c r="B4" s="14" t="s">
        <v>24</v>
      </c>
      <c r="C4" s="85" t="s">
        <v>268</v>
      </c>
      <c r="D4" s="14">
        <v>1178.0</v>
      </c>
      <c r="E4" s="106"/>
      <c r="G4" s="68"/>
      <c r="H4" s="66" t="s">
        <v>206</v>
      </c>
      <c r="K4" s="4" t="s">
        <v>13</v>
      </c>
      <c r="L4" s="23">
        <f>L1 + L2</f>
        <v>155947</v>
      </c>
    </row>
    <row r="5">
      <c r="A5" s="64" t="s">
        <v>201</v>
      </c>
      <c r="B5" s="64" t="s">
        <v>200</v>
      </c>
      <c r="C5" s="85" t="s">
        <v>268</v>
      </c>
      <c r="D5" s="67">
        <v>2561.0</v>
      </c>
      <c r="E5" s="106"/>
      <c r="G5" s="69"/>
      <c r="H5" s="66" t="s">
        <v>7</v>
      </c>
      <c r="K5" s="39" t="s">
        <v>114</v>
      </c>
      <c r="L5" s="13">
        <f>L4 - (D32)</f>
        <v>33609</v>
      </c>
    </row>
    <row r="6">
      <c r="A6" s="14" t="s">
        <v>346</v>
      </c>
      <c r="B6" s="14" t="s">
        <v>52</v>
      </c>
      <c r="C6" s="85" t="s">
        <v>268</v>
      </c>
      <c r="D6" s="8">
        <f>I32</f>
        <v>7501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27337</v>
      </c>
    </row>
    <row r="7">
      <c r="A7" s="106" t="s">
        <v>277</v>
      </c>
      <c r="B7" s="106" t="s">
        <v>48</v>
      </c>
      <c r="C7" s="85" t="s">
        <v>268</v>
      </c>
      <c r="D7" s="106">
        <v>25000.0</v>
      </c>
      <c r="E7" s="106"/>
      <c r="G7" s="92"/>
      <c r="H7" s="66" t="s">
        <v>205</v>
      </c>
    </row>
    <row r="8">
      <c r="A8" s="79" t="s">
        <v>47</v>
      </c>
      <c r="B8" s="75" t="s">
        <v>48</v>
      </c>
      <c r="C8" s="85" t="s">
        <v>268</v>
      </c>
      <c r="D8" s="75">
        <v>4000.0</v>
      </c>
      <c r="E8" s="106"/>
      <c r="F8" s="45"/>
      <c r="G8" s="128"/>
      <c r="H8" s="66" t="s">
        <v>277</v>
      </c>
    </row>
    <row r="9">
      <c r="A9" s="75" t="s">
        <v>7</v>
      </c>
      <c r="B9" s="75" t="s">
        <v>7</v>
      </c>
      <c r="C9" s="14" t="s">
        <v>268</v>
      </c>
      <c r="D9" s="75">
        <v>2000.0</v>
      </c>
      <c r="E9" s="106"/>
      <c r="F9" s="45"/>
    </row>
    <row r="10">
      <c r="A10" s="64" t="s">
        <v>426</v>
      </c>
      <c r="B10" s="64" t="s">
        <v>24</v>
      </c>
      <c r="C10" s="85" t="s">
        <v>268</v>
      </c>
      <c r="D10" s="64">
        <v>1983.0</v>
      </c>
      <c r="E10" s="106"/>
    </row>
    <row r="11">
      <c r="A11" s="111" t="s">
        <v>270</v>
      </c>
      <c r="B11" s="111" t="s">
        <v>420</v>
      </c>
      <c r="C11" s="14" t="s">
        <v>268</v>
      </c>
      <c r="D11" s="111">
        <v>2500.0</v>
      </c>
      <c r="E11" s="106"/>
    </row>
    <row r="12">
      <c r="A12" s="70" t="s">
        <v>10</v>
      </c>
      <c r="B12" s="70" t="s">
        <v>140</v>
      </c>
      <c r="C12" s="14" t="s">
        <v>268</v>
      </c>
      <c r="D12" s="70">
        <v>5500.0</v>
      </c>
      <c r="E12" s="106"/>
      <c r="F12" s="45"/>
    </row>
    <row r="13">
      <c r="A13" s="64" t="s">
        <v>421</v>
      </c>
      <c r="B13" s="64" t="s">
        <v>24</v>
      </c>
      <c r="C13" s="14" t="s">
        <v>268</v>
      </c>
      <c r="D13" s="64">
        <f>(3556)+(2556)</f>
        <v>6112</v>
      </c>
      <c r="E13" s="106"/>
      <c r="F13" s="45"/>
      <c r="G13" s="136" t="s">
        <v>405</v>
      </c>
    </row>
    <row r="14">
      <c r="A14" s="14" t="s">
        <v>429</v>
      </c>
      <c r="B14" s="14" t="s">
        <v>8</v>
      </c>
      <c r="C14" s="85" t="s">
        <v>268</v>
      </c>
      <c r="D14" s="14">
        <v>2178.0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115</v>
      </c>
      <c r="B15" s="64" t="s">
        <v>116</v>
      </c>
      <c r="C15" s="14" t="s">
        <v>268</v>
      </c>
      <c r="D15" s="64">
        <v>20000.0</v>
      </c>
      <c r="E15" s="107"/>
      <c r="G15" s="14" t="s">
        <v>260</v>
      </c>
      <c r="I15" s="8">
        <f>420+90</f>
        <v>510</v>
      </c>
    </row>
    <row r="16">
      <c r="A16" s="64" t="s">
        <v>427</v>
      </c>
      <c r="B16" s="64" t="s">
        <v>24</v>
      </c>
      <c r="C16" s="85" t="s">
        <v>268</v>
      </c>
      <c r="D16" s="64">
        <v>948.0</v>
      </c>
      <c r="E16" s="106"/>
      <c r="G16" s="14" t="s">
        <v>393</v>
      </c>
      <c r="I16" s="8">
        <f>488+55+144+144</f>
        <v>831</v>
      </c>
    </row>
    <row r="17">
      <c r="A17" s="14" t="s">
        <v>446</v>
      </c>
      <c r="D17" s="14">
        <v>11050.0</v>
      </c>
      <c r="E17" s="106"/>
      <c r="G17" s="14" t="s">
        <v>367</v>
      </c>
      <c r="I17" s="8">
        <f>40+40+40+910+860+500+435+43+40</f>
        <v>2908</v>
      </c>
    </row>
    <row r="18">
      <c r="A18" s="64" t="s">
        <v>368</v>
      </c>
      <c r="B18" s="64" t="s">
        <v>200</v>
      </c>
      <c r="C18" s="85" t="s">
        <v>268</v>
      </c>
      <c r="D18" s="67">
        <v>9022.0</v>
      </c>
      <c r="E18" s="107"/>
      <c r="G18" s="14" t="s">
        <v>369</v>
      </c>
      <c r="I18" s="8">
        <f>60</f>
        <v>60</v>
      </c>
    </row>
    <row r="19">
      <c r="A19" s="64" t="s">
        <v>417</v>
      </c>
      <c r="B19" s="64" t="s">
        <v>200</v>
      </c>
      <c r="C19" s="85" t="s">
        <v>268</v>
      </c>
      <c r="D19" s="67">
        <v>12660.0</v>
      </c>
      <c r="E19" s="106"/>
      <c r="G19" s="14" t="s">
        <v>275</v>
      </c>
    </row>
    <row r="20">
      <c r="A20" s="75" t="s">
        <v>7</v>
      </c>
      <c r="B20" s="75" t="s">
        <v>7</v>
      </c>
      <c r="C20" s="14" t="s">
        <v>268</v>
      </c>
      <c r="D20" s="75">
        <v>1000.0</v>
      </c>
      <c r="G20" s="14" t="s">
        <v>95</v>
      </c>
      <c r="I20" s="14">
        <f>-10+120+120+100+942</f>
        <v>1272</v>
      </c>
    </row>
    <row r="21">
      <c r="G21" s="14" t="s">
        <v>243</v>
      </c>
      <c r="I21" s="8">
        <f>200</f>
        <v>200</v>
      </c>
    </row>
    <row r="22">
      <c r="G22" s="14" t="s">
        <v>293</v>
      </c>
      <c r="I22" s="8">
        <f>80+85+180+800</f>
        <v>1145</v>
      </c>
    </row>
    <row r="23">
      <c r="G23" s="14" t="s">
        <v>422</v>
      </c>
    </row>
    <row r="24">
      <c r="G24" s="14" t="s">
        <v>197</v>
      </c>
      <c r="I24" s="8">
        <f>110</f>
        <v>110</v>
      </c>
    </row>
    <row r="25">
      <c r="G25" s="14" t="s">
        <v>229</v>
      </c>
    </row>
    <row r="26">
      <c r="G26" s="106" t="s">
        <v>440</v>
      </c>
      <c r="H26" s="106"/>
      <c r="I26" s="106"/>
      <c r="L26" s="14">
        <v>16964.0</v>
      </c>
    </row>
    <row r="27">
      <c r="A27" s="106"/>
      <c r="B27" s="106"/>
      <c r="C27" s="85"/>
      <c r="D27" s="107"/>
      <c r="E27" s="84"/>
    </row>
    <row r="28">
      <c r="A28" s="106"/>
      <c r="B28" s="106"/>
      <c r="C28" s="85"/>
      <c r="D28" s="106"/>
      <c r="G28" s="14" t="s">
        <v>195</v>
      </c>
      <c r="I28" s="8">
        <f>77+189+199</f>
        <v>465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122338</v>
      </c>
      <c r="G32" s="33" t="s">
        <v>349</v>
      </c>
      <c r="H32" s="153"/>
      <c r="I32" s="154">
        <f>SUM(I15:I30)</f>
        <v>7501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441</v>
      </c>
      <c r="B38" s="14" t="s">
        <v>52</v>
      </c>
      <c r="C38" s="14" t="s">
        <v>268</v>
      </c>
      <c r="D38" s="14">
        <f>10000-D6</f>
        <v>2499</v>
      </c>
      <c r="E38" s="14"/>
    </row>
    <row r="39">
      <c r="A39" s="75" t="s">
        <v>196</v>
      </c>
      <c r="B39" s="75" t="s">
        <v>8</v>
      </c>
      <c r="C39" s="85" t="s">
        <v>268</v>
      </c>
      <c r="D39" s="75">
        <v>500.0</v>
      </c>
    </row>
    <row r="44">
      <c r="A44" s="106" t="s">
        <v>277</v>
      </c>
      <c r="B44" s="106" t="s">
        <v>48</v>
      </c>
      <c r="C44" s="85" t="s">
        <v>268</v>
      </c>
      <c r="D44" s="106">
        <v>3000.0</v>
      </c>
    </row>
    <row r="49">
      <c r="A49" s="14" t="s">
        <v>64</v>
      </c>
      <c r="B49" s="14" t="s">
        <v>52</v>
      </c>
      <c r="C49" s="85" t="s">
        <v>268</v>
      </c>
      <c r="D49" s="14">
        <v>273.0</v>
      </c>
    </row>
    <row r="50">
      <c r="A50" s="14" t="s">
        <v>206</v>
      </c>
      <c r="B50" s="14" t="s">
        <v>140</v>
      </c>
      <c r="C50" s="85" t="s">
        <v>268</v>
      </c>
      <c r="D50" s="14">
        <v>0.0</v>
      </c>
      <c r="E50" s="88"/>
    </row>
    <row r="54">
      <c r="H54" s="14"/>
    </row>
    <row r="55">
      <c r="E55" s="14"/>
    </row>
    <row r="68">
      <c r="C68" s="8" t="s">
        <v>39</v>
      </c>
      <c r="D68" s="19">
        <f>SUM(D37:D65)</f>
        <v>6272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270000-100000-100000</f>
        <v>70000</v>
      </c>
    </row>
    <row r="75">
      <c r="A75" s="14" t="s">
        <v>445</v>
      </c>
      <c r="B75" s="14" t="s">
        <v>38</v>
      </c>
      <c r="D75" s="14">
        <v>100000.0</v>
      </c>
    </row>
    <row r="82">
      <c r="D82" s="8">
        <f>SUM(D71:D76)</f>
        <v>306000</v>
      </c>
    </row>
  </sheetData>
  <mergeCells count="3">
    <mergeCell ref="A1:D1"/>
    <mergeCell ref="G13:I13"/>
    <mergeCell ref="A35:D35"/>
  </mergeCells>
  <dataValidations>
    <dataValidation type="list" allowBlank="1" showErrorMessage="1" sqref="C3:C16 C18:C20 C38:C39 C44 C49:C50">
      <formula1>"Online,Cash"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1000.0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155243.0</v>
      </c>
    </row>
    <row r="3">
      <c r="E3" s="162"/>
      <c r="G3" s="65"/>
      <c r="H3" s="66" t="s">
        <v>269</v>
      </c>
    </row>
    <row r="4">
      <c r="A4" s="14" t="s">
        <v>444</v>
      </c>
      <c r="B4" s="14" t="s">
        <v>24</v>
      </c>
      <c r="C4" s="85" t="s">
        <v>268</v>
      </c>
      <c r="D4" s="14">
        <v>1178.0</v>
      </c>
      <c r="E4" s="106"/>
      <c r="G4" s="68"/>
      <c r="H4" s="66" t="s">
        <v>206</v>
      </c>
      <c r="K4" s="4" t="s">
        <v>13</v>
      </c>
      <c r="L4" s="23">
        <f>L1 + L2</f>
        <v>156243</v>
      </c>
    </row>
    <row r="5">
      <c r="E5" s="106"/>
      <c r="G5" s="69"/>
      <c r="H5" s="66" t="s">
        <v>7</v>
      </c>
      <c r="K5" s="39" t="s">
        <v>114</v>
      </c>
      <c r="L5" s="13">
        <f>L4 - (D32)</f>
        <v>59210</v>
      </c>
    </row>
    <row r="6">
      <c r="A6" s="14" t="s">
        <v>346</v>
      </c>
      <c r="B6" s="14" t="s">
        <v>52</v>
      </c>
      <c r="C6" s="85" t="s">
        <v>268</v>
      </c>
      <c r="D6" s="8">
        <f>I32</f>
        <v>528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-33514</v>
      </c>
    </row>
    <row r="7">
      <c r="A7" s="106" t="s">
        <v>277</v>
      </c>
      <c r="B7" s="106" t="s">
        <v>48</v>
      </c>
      <c r="C7" s="85" t="s">
        <v>268</v>
      </c>
      <c r="D7" s="106">
        <v>25000.0</v>
      </c>
      <c r="E7" s="106"/>
      <c r="G7" s="92"/>
      <c r="H7" s="66" t="s">
        <v>205</v>
      </c>
    </row>
    <row r="8">
      <c r="A8" s="79" t="s">
        <v>47</v>
      </c>
      <c r="B8" s="75" t="s">
        <v>48</v>
      </c>
      <c r="C8" s="85" t="s">
        <v>268</v>
      </c>
      <c r="D8" s="75">
        <v>4000.0</v>
      </c>
      <c r="E8" s="106"/>
      <c r="F8" s="45"/>
      <c r="G8" s="128"/>
      <c r="H8" s="66" t="s">
        <v>277</v>
      </c>
    </row>
    <row r="9">
      <c r="A9" s="75" t="s">
        <v>7</v>
      </c>
      <c r="B9" s="75" t="s">
        <v>7</v>
      </c>
      <c r="C9" s="14" t="s">
        <v>268</v>
      </c>
      <c r="D9" s="75">
        <v>4000.0</v>
      </c>
      <c r="E9" s="106"/>
      <c r="F9" s="45"/>
    </row>
    <row r="10">
      <c r="A10" s="64" t="s">
        <v>426</v>
      </c>
      <c r="B10" s="64" t="s">
        <v>24</v>
      </c>
      <c r="C10" s="85" t="s">
        <v>268</v>
      </c>
      <c r="D10" s="64">
        <v>1991.0</v>
      </c>
      <c r="E10" s="106"/>
    </row>
    <row r="11">
      <c r="A11" s="111" t="s">
        <v>270</v>
      </c>
      <c r="B11" s="111" t="s">
        <v>420</v>
      </c>
      <c r="C11" s="14" t="s">
        <v>268</v>
      </c>
      <c r="D11" s="111">
        <v>2500.0</v>
      </c>
      <c r="E11" s="106"/>
    </row>
    <row r="12">
      <c r="A12" s="70" t="s">
        <v>10</v>
      </c>
      <c r="B12" s="70" t="s">
        <v>140</v>
      </c>
      <c r="C12" s="14" t="s">
        <v>268</v>
      </c>
      <c r="D12" s="70">
        <v>5500.0</v>
      </c>
      <c r="E12" s="106"/>
      <c r="F12" s="45"/>
    </row>
    <row r="13">
      <c r="A13" s="64"/>
      <c r="B13" s="64"/>
      <c r="C13" s="8"/>
      <c r="D13" s="64"/>
      <c r="E13" s="106"/>
      <c r="F13" s="45"/>
      <c r="G13" s="136" t="s">
        <v>405</v>
      </c>
    </row>
    <row r="14">
      <c r="C14" s="85"/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115</v>
      </c>
      <c r="B15" s="64" t="s">
        <v>116</v>
      </c>
      <c r="C15" s="14" t="s">
        <v>268</v>
      </c>
      <c r="D15" s="64">
        <v>20000.0</v>
      </c>
      <c r="E15" s="107"/>
      <c r="G15" s="14" t="s">
        <v>260</v>
      </c>
    </row>
    <row r="16">
      <c r="A16" s="64" t="s">
        <v>427</v>
      </c>
      <c r="B16" s="64" t="s">
        <v>24</v>
      </c>
      <c r="C16" s="85" t="s">
        <v>268</v>
      </c>
      <c r="D16" s="64">
        <v>948.0</v>
      </c>
      <c r="E16" s="106"/>
      <c r="G16" s="14" t="s">
        <v>393</v>
      </c>
      <c r="I16" s="8">
        <f>488</f>
        <v>488</v>
      </c>
    </row>
    <row r="17">
      <c r="E17" s="106"/>
      <c r="G17" s="14" t="s">
        <v>367</v>
      </c>
      <c r="I17" s="8">
        <f>40</f>
        <v>40</v>
      </c>
    </row>
    <row r="18">
      <c r="A18" s="64" t="s">
        <v>368</v>
      </c>
      <c r="B18" s="64" t="s">
        <v>200</v>
      </c>
      <c r="C18" s="85" t="s">
        <v>268</v>
      </c>
      <c r="D18" s="67">
        <v>9022.0</v>
      </c>
      <c r="E18" s="107"/>
      <c r="G18" s="14" t="s">
        <v>369</v>
      </c>
    </row>
    <row r="19">
      <c r="A19" s="64" t="s">
        <v>417</v>
      </c>
      <c r="B19" s="64" t="s">
        <v>200</v>
      </c>
      <c r="C19" s="85" t="s">
        <v>268</v>
      </c>
      <c r="D19" s="67">
        <v>12660.0</v>
      </c>
      <c r="E19" s="106"/>
      <c r="G19" s="14" t="s">
        <v>275</v>
      </c>
    </row>
    <row r="20">
      <c r="A20" s="64" t="s">
        <v>416</v>
      </c>
      <c r="B20" s="64" t="s">
        <v>200</v>
      </c>
      <c r="C20" s="85" t="s">
        <v>268</v>
      </c>
      <c r="D20" s="67">
        <v>7145.0</v>
      </c>
      <c r="G20" s="14" t="s">
        <v>95</v>
      </c>
    </row>
    <row r="21">
      <c r="A21" s="64" t="s">
        <v>201</v>
      </c>
      <c r="B21" s="64" t="s">
        <v>200</v>
      </c>
      <c r="C21" s="85" t="s">
        <v>268</v>
      </c>
      <c r="D21" s="67">
        <v>2561.0</v>
      </c>
      <c r="G21" s="14" t="s">
        <v>243</v>
      </c>
    </row>
    <row r="22">
      <c r="G22" s="14" t="s">
        <v>293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G26" s="106" t="s">
        <v>440</v>
      </c>
      <c r="H26" s="106"/>
      <c r="I26" s="106"/>
      <c r="L26" s="14">
        <v>16964.0</v>
      </c>
    </row>
    <row r="27">
      <c r="A27" s="106"/>
      <c r="B27" s="106"/>
      <c r="C27" s="85"/>
      <c r="D27" s="107"/>
      <c r="E27" s="84"/>
    </row>
    <row r="28">
      <c r="A28" s="106"/>
      <c r="B28" s="106"/>
      <c r="C28" s="85"/>
      <c r="D28" s="106"/>
      <c r="G28" s="14" t="s">
        <v>195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SUM(D4:D30)</f>
        <v>97033</v>
      </c>
      <c r="G32" s="33" t="s">
        <v>349</v>
      </c>
      <c r="H32" s="153"/>
      <c r="I32" s="154">
        <f>SUM(I15:I30)</f>
        <v>528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14" t="s">
        <v>441</v>
      </c>
      <c r="B38" s="14" t="s">
        <v>52</v>
      </c>
      <c r="C38" s="14" t="s">
        <v>268</v>
      </c>
      <c r="D38" s="14">
        <f>10000-D6</f>
        <v>9472</v>
      </c>
      <c r="E38" s="14"/>
    </row>
    <row r="39">
      <c r="A39" s="75" t="s">
        <v>196</v>
      </c>
      <c r="B39" s="75" t="s">
        <v>8</v>
      </c>
      <c r="C39" s="85" t="s">
        <v>268</v>
      </c>
      <c r="D39" s="75">
        <v>500.0</v>
      </c>
    </row>
    <row r="41">
      <c r="A41" s="64" t="s">
        <v>368</v>
      </c>
      <c r="B41" s="64" t="s">
        <v>200</v>
      </c>
      <c r="C41" s="85" t="s">
        <v>268</v>
      </c>
      <c r="D41" s="67">
        <v>6000.0</v>
      </c>
    </row>
    <row r="42">
      <c r="A42" s="64" t="s">
        <v>115</v>
      </c>
      <c r="B42" s="64" t="s">
        <v>116</v>
      </c>
      <c r="C42" s="14" t="s">
        <v>268</v>
      </c>
      <c r="D42" s="64">
        <v>20000.0</v>
      </c>
    </row>
    <row r="43">
      <c r="A43" s="64" t="s">
        <v>427</v>
      </c>
      <c r="B43" s="64" t="s">
        <v>24</v>
      </c>
      <c r="C43" s="85" t="s">
        <v>268</v>
      </c>
      <c r="D43" s="64">
        <v>818.0</v>
      </c>
    </row>
    <row r="45">
      <c r="A45" s="79" t="s">
        <v>47</v>
      </c>
      <c r="B45" s="75" t="s">
        <v>48</v>
      </c>
      <c r="C45" s="85" t="s">
        <v>268</v>
      </c>
      <c r="D45" s="75">
        <v>4000.0</v>
      </c>
    </row>
    <row r="46">
      <c r="A46" s="75" t="s">
        <v>7</v>
      </c>
      <c r="B46" s="75" t="s">
        <v>7</v>
      </c>
      <c r="C46" s="14" t="s">
        <v>268</v>
      </c>
      <c r="D46" s="75">
        <v>4000.0</v>
      </c>
    </row>
    <row r="47">
      <c r="A47" s="64" t="s">
        <v>426</v>
      </c>
      <c r="B47" s="64" t="s">
        <v>24</v>
      </c>
      <c r="C47" s="85" t="s">
        <v>268</v>
      </c>
      <c r="D47" s="64">
        <v>1983.0</v>
      </c>
    </row>
    <row r="48">
      <c r="A48" s="106" t="s">
        <v>277</v>
      </c>
      <c r="B48" s="106" t="s">
        <v>48</v>
      </c>
      <c r="C48" s="85" t="s">
        <v>268</v>
      </c>
      <c r="D48" s="106">
        <v>25000.0</v>
      </c>
    </row>
    <row r="49">
      <c r="A49" s="111" t="s">
        <v>270</v>
      </c>
      <c r="B49" s="111" t="s">
        <v>420</v>
      </c>
      <c r="C49" s="14" t="s">
        <v>268</v>
      </c>
      <c r="D49" s="111">
        <v>2500.0</v>
      </c>
    </row>
    <row r="50">
      <c r="A50" s="70" t="s">
        <v>10</v>
      </c>
      <c r="B50" s="70" t="s">
        <v>140</v>
      </c>
      <c r="C50" s="14" t="s">
        <v>268</v>
      </c>
      <c r="D50" s="70">
        <v>5500.0</v>
      </c>
      <c r="E50" s="88"/>
    </row>
    <row r="51">
      <c r="A51" s="64"/>
      <c r="B51" s="64"/>
      <c r="C51" s="8"/>
      <c r="D51" s="64"/>
    </row>
    <row r="52">
      <c r="C52" s="85"/>
    </row>
    <row r="53">
      <c r="A53" s="64" t="s">
        <v>417</v>
      </c>
      <c r="B53" s="64" t="s">
        <v>200</v>
      </c>
      <c r="C53" s="85" t="s">
        <v>268</v>
      </c>
      <c r="D53" s="67">
        <v>12678.0</v>
      </c>
    </row>
    <row r="54">
      <c r="A54" s="14" t="s">
        <v>64</v>
      </c>
      <c r="B54" s="14" t="s">
        <v>52</v>
      </c>
      <c r="C54" s="85" t="s">
        <v>268</v>
      </c>
      <c r="D54" s="14">
        <v>273.0</v>
      </c>
      <c r="H54" s="14"/>
    </row>
    <row r="55">
      <c r="A55" s="14" t="s">
        <v>206</v>
      </c>
      <c r="B55" s="14" t="s">
        <v>140</v>
      </c>
      <c r="C55" s="85" t="s">
        <v>268</v>
      </c>
      <c r="D55" s="14">
        <v>0.0</v>
      </c>
      <c r="E55" s="14"/>
    </row>
    <row r="68">
      <c r="C68" s="8" t="s">
        <v>39</v>
      </c>
      <c r="D68" s="19">
        <f>SUM(D37:D65)</f>
        <v>92724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4">
      <c r="A74" s="14" t="s">
        <v>278</v>
      </c>
      <c r="B74" s="14" t="s">
        <v>38</v>
      </c>
      <c r="D74" s="8">
        <f>270000-100000-100000</f>
        <v>70000</v>
      </c>
    </row>
    <row r="75">
      <c r="A75" s="14" t="s">
        <v>445</v>
      </c>
      <c r="B75" s="14" t="s">
        <v>38</v>
      </c>
      <c r="D75" s="14">
        <v>100000.0</v>
      </c>
    </row>
    <row r="82">
      <c r="D82" s="8">
        <f>SUM(D71:D76)</f>
        <v>306000</v>
      </c>
    </row>
  </sheetData>
  <mergeCells count="3">
    <mergeCell ref="A1:D1"/>
    <mergeCell ref="G13:I13"/>
    <mergeCell ref="A35:D35"/>
  </mergeCells>
  <dataValidations>
    <dataValidation type="list" allowBlank="1" showErrorMessage="1" sqref="C4 C6:C16 C18:C21 C38:C39 C41:C43 C45:C55">
      <formula1>"Online,Cash"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f>6130+506</f>
        <v>6636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389676.0</v>
      </c>
    </row>
    <row r="3">
      <c r="A3" s="64" t="s">
        <v>426</v>
      </c>
      <c r="B3" s="64" t="s">
        <v>24</v>
      </c>
      <c r="C3" s="85" t="s">
        <v>268</v>
      </c>
      <c r="D3" s="64">
        <v>1992.0</v>
      </c>
      <c r="E3" s="162"/>
      <c r="G3" s="65"/>
      <c r="H3" s="66" t="s">
        <v>269</v>
      </c>
    </row>
    <row r="4">
      <c r="A4" s="64" t="s">
        <v>417</v>
      </c>
      <c r="B4" s="64" t="s">
        <v>200</v>
      </c>
      <c r="C4" s="85" t="s">
        <v>268</v>
      </c>
      <c r="D4" s="67">
        <v>11132.0</v>
      </c>
      <c r="E4" s="106"/>
      <c r="G4" s="68"/>
      <c r="H4" s="66" t="s">
        <v>206</v>
      </c>
      <c r="K4" s="4" t="s">
        <v>13</v>
      </c>
      <c r="L4" s="23">
        <f>L1 + L2</f>
        <v>396312</v>
      </c>
    </row>
    <row r="5">
      <c r="A5" s="64" t="s">
        <v>416</v>
      </c>
      <c r="B5" s="64" t="s">
        <v>200</v>
      </c>
      <c r="C5" s="85" t="s">
        <v>268</v>
      </c>
      <c r="D5" s="67">
        <v>8409.0</v>
      </c>
      <c r="E5" s="106"/>
      <c r="G5" s="69"/>
      <c r="H5" s="66" t="s">
        <v>7</v>
      </c>
      <c r="K5" s="39" t="s">
        <v>114</v>
      </c>
      <c r="L5" s="13">
        <f>L4 - (D32)</f>
        <v>-8928</v>
      </c>
    </row>
    <row r="6">
      <c r="A6" s="64" t="s">
        <v>201</v>
      </c>
      <c r="B6" s="64" t="s">
        <v>200</v>
      </c>
      <c r="C6" s="85" t="s">
        <v>268</v>
      </c>
      <c r="D6" s="67">
        <v>2812.0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-29869</v>
      </c>
    </row>
    <row r="7">
      <c r="A7" s="106" t="s">
        <v>278</v>
      </c>
      <c r="B7" s="106"/>
      <c r="C7" s="85"/>
      <c r="D7" s="106">
        <v>100000.0</v>
      </c>
      <c r="E7" s="106"/>
      <c r="G7" s="92"/>
      <c r="H7" s="66" t="s">
        <v>205</v>
      </c>
    </row>
    <row r="8">
      <c r="A8" s="75" t="s">
        <v>447</v>
      </c>
      <c r="B8" s="75"/>
      <c r="C8" s="85"/>
      <c r="D8" s="75">
        <v>1000.0</v>
      </c>
      <c r="E8" s="106"/>
      <c r="F8" s="45"/>
      <c r="G8" s="128"/>
      <c r="H8" s="66" t="s">
        <v>277</v>
      </c>
    </row>
    <row r="9">
      <c r="A9" s="79" t="s">
        <v>47</v>
      </c>
      <c r="B9" s="75" t="s">
        <v>48</v>
      </c>
      <c r="C9" s="85" t="s">
        <v>268</v>
      </c>
      <c r="D9" s="75">
        <v>4000.0</v>
      </c>
      <c r="E9" s="106"/>
      <c r="F9" s="45"/>
    </row>
    <row r="10">
      <c r="A10" s="75" t="s">
        <v>7</v>
      </c>
      <c r="B10" s="75" t="s">
        <v>7</v>
      </c>
      <c r="C10" s="14" t="s">
        <v>268</v>
      </c>
      <c r="D10" s="75">
        <v>11000.0</v>
      </c>
      <c r="E10" s="106"/>
    </row>
    <row r="11">
      <c r="A11" s="106" t="s">
        <v>277</v>
      </c>
      <c r="B11" s="106" t="s">
        <v>48</v>
      </c>
      <c r="C11" s="85" t="s">
        <v>268</v>
      </c>
      <c r="D11" s="106">
        <v>25000.0</v>
      </c>
      <c r="E11" s="106"/>
    </row>
    <row r="12">
      <c r="A12" s="14" t="s">
        <v>64</v>
      </c>
      <c r="B12" s="14" t="s">
        <v>52</v>
      </c>
      <c r="C12" s="85" t="s">
        <v>268</v>
      </c>
      <c r="D12" s="14">
        <v>822.0</v>
      </c>
      <c r="E12" s="106"/>
      <c r="F12" s="45"/>
    </row>
    <row r="13">
      <c r="A13" s="64" t="s">
        <v>363</v>
      </c>
      <c r="B13" s="64" t="s">
        <v>52</v>
      </c>
      <c r="C13" s="8"/>
      <c r="D13" s="64">
        <f>I32</f>
        <v>1237</v>
      </c>
      <c r="E13" s="106"/>
      <c r="F13" s="45"/>
      <c r="G13" s="136" t="s">
        <v>405</v>
      </c>
    </row>
    <row r="14">
      <c r="A14" s="111" t="s">
        <v>270</v>
      </c>
      <c r="B14" s="111" t="s">
        <v>420</v>
      </c>
      <c r="C14" s="14" t="s">
        <v>268</v>
      </c>
      <c r="D14" s="111">
        <v>2500.0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70" t="s">
        <v>10</v>
      </c>
      <c r="B15" s="70" t="s">
        <v>140</v>
      </c>
      <c r="C15" s="14" t="s">
        <v>268</v>
      </c>
      <c r="D15" s="70">
        <v>5500.0</v>
      </c>
      <c r="E15" s="107"/>
      <c r="G15" s="14" t="s">
        <v>260</v>
      </c>
      <c r="I15" s="8">
        <f>339</f>
        <v>339</v>
      </c>
    </row>
    <row r="16">
      <c r="A16" s="14" t="s">
        <v>206</v>
      </c>
      <c r="B16" s="14" t="s">
        <v>140</v>
      </c>
      <c r="C16" s="85" t="s">
        <v>268</v>
      </c>
      <c r="D16" s="14">
        <v>65000.0</v>
      </c>
      <c r="E16" s="106"/>
      <c r="G16" s="14" t="s">
        <v>393</v>
      </c>
      <c r="I16" s="8">
        <f>97</f>
        <v>97</v>
      </c>
    </row>
    <row r="17">
      <c r="A17" s="14" t="s">
        <v>448</v>
      </c>
      <c r="D17" s="14">
        <v>100000.0</v>
      </c>
      <c r="E17" s="106"/>
      <c r="G17" s="14" t="s">
        <v>367</v>
      </c>
      <c r="I17" s="8">
        <f>56+40</f>
        <v>96</v>
      </c>
    </row>
    <row r="18">
      <c r="A18" s="64" t="s">
        <v>368</v>
      </c>
      <c r="B18" s="64" t="s">
        <v>200</v>
      </c>
      <c r="C18" s="85" t="s">
        <v>268</v>
      </c>
      <c r="D18" s="67">
        <v>9502.0</v>
      </c>
      <c r="E18" s="107"/>
      <c r="G18" s="14" t="s">
        <v>369</v>
      </c>
      <c r="I18" s="8">
        <f>10+20</f>
        <v>30</v>
      </c>
    </row>
    <row r="19">
      <c r="A19" s="64" t="s">
        <v>115</v>
      </c>
      <c r="B19" s="64" t="s">
        <v>116</v>
      </c>
      <c r="C19" s="14" t="s">
        <v>268</v>
      </c>
      <c r="D19" s="64">
        <v>20000.0</v>
      </c>
      <c r="E19" s="106"/>
      <c r="G19" s="14" t="s">
        <v>275</v>
      </c>
    </row>
    <row r="20">
      <c r="A20" s="75" t="s">
        <v>196</v>
      </c>
      <c r="B20" s="75" t="s">
        <v>8</v>
      </c>
      <c r="C20" s="85" t="s">
        <v>268</v>
      </c>
      <c r="D20" s="75">
        <v>500.0</v>
      </c>
      <c r="G20" s="14" t="s">
        <v>95</v>
      </c>
    </row>
    <row r="21">
      <c r="A21" s="64" t="s">
        <v>427</v>
      </c>
      <c r="B21" s="64" t="s">
        <v>24</v>
      </c>
      <c r="C21" s="85" t="s">
        <v>268</v>
      </c>
      <c r="D21" s="64">
        <v>850.0</v>
      </c>
      <c r="G21" s="14" t="s">
        <v>243</v>
      </c>
      <c r="I21" s="8">
        <f>65</f>
        <v>65</v>
      </c>
    </row>
    <row r="22">
      <c r="A22" s="14" t="s">
        <v>93</v>
      </c>
      <c r="D22" s="14">
        <v>1345.0</v>
      </c>
      <c r="G22" s="14" t="s">
        <v>293</v>
      </c>
    </row>
    <row r="23">
      <c r="A23" s="14" t="s">
        <v>449</v>
      </c>
      <c r="D23" s="14">
        <v>7639.0</v>
      </c>
      <c r="G23" s="14" t="s">
        <v>422</v>
      </c>
    </row>
    <row r="24">
      <c r="A24" s="14" t="s">
        <v>450</v>
      </c>
      <c r="G24" s="14" t="s">
        <v>197</v>
      </c>
      <c r="I24" s="8">
        <f>110</f>
        <v>110</v>
      </c>
    </row>
    <row r="25">
      <c r="A25" s="14" t="s">
        <v>350</v>
      </c>
      <c r="D25" s="14">
        <v>25000.0</v>
      </c>
      <c r="G25" s="14" t="s">
        <v>229</v>
      </c>
      <c r="I25" s="14">
        <v>400.0</v>
      </c>
    </row>
    <row r="26">
      <c r="G26" s="106" t="s">
        <v>440</v>
      </c>
      <c r="H26" s="106"/>
      <c r="I26" s="106"/>
      <c r="L26" s="14">
        <v>16964.0</v>
      </c>
    </row>
    <row r="27">
      <c r="A27" s="106"/>
      <c r="B27" s="106"/>
      <c r="C27" s="85"/>
      <c r="D27" s="107"/>
      <c r="E27" s="84"/>
    </row>
    <row r="28">
      <c r="A28" s="106"/>
      <c r="B28" s="106"/>
      <c r="C28" s="85"/>
      <c r="D28" s="106"/>
      <c r="G28" s="14" t="s">
        <v>451</v>
      </c>
      <c r="I28" s="14">
        <v>100.0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405240</v>
      </c>
      <c r="G32" s="33" t="s">
        <v>349</v>
      </c>
      <c r="H32" s="153"/>
      <c r="I32" s="154">
        <f>SUM(I15:I30)</f>
        <v>1237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A37" s="14" t="s">
        <v>444</v>
      </c>
      <c r="B37" s="14" t="s">
        <v>24</v>
      </c>
      <c r="C37" s="85" t="s">
        <v>268</v>
      </c>
      <c r="D37" s="14">
        <v>1178.0</v>
      </c>
      <c r="E37" s="14"/>
    </row>
    <row r="38">
      <c r="A38" s="14" t="s">
        <v>441</v>
      </c>
      <c r="B38" s="14" t="s">
        <v>52</v>
      </c>
      <c r="C38" s="14" t="s">
        <v>268</v>
      </c>
      <c r="D38" s="14">
        <f>12000-D13</f>
        <v>10763</v>
      </c>
      <c r="E38" s="14"/>
    </row>
    <row r="47">
      <c r="A47" s="106" t="s">
        <v>452</v>
      </c>
      <c r="B47" s="106"/>
      <c r="C47" s="127"/>
      <c r="D47" s="106">
        <v>9000.0</v>
      </c>
    </row>
    <row r="48">
      <c r="A48" s="107"/>
      <c r="B48" s="107"/>
      <c r="C48" s="107"/>
      <c r="D48" s="107"/>
    </row>
    <row r="49">
      <c r="A49" s="107"/>
      <c r="B49" s="107"/>
      <c r="C49" s="107"/>
      <c r="D49" s="107"/>
    </row>
    <row r="50">
      <c r="A50" s="107"/>
      <c r="B50" s="107"/>
      <c r="C50" s="107"/>
      <c r="D50" s="107"/>
      <c r="E50" s="88"/>
    </row>
    <row r="51">
      <c r="A51" s="107"/>
      <c r="B51" s="107"/>
      <c r="C51" s="107"/>
      <c r="D51" s="107"/>
    </row>
    <row r="52">
      <c r="A52" s="107"/>
      <c r="B52" s="107"/>
      <c r="C52" s="127"/>
      <c r="D52" s="107"/>
    </row>
    <row r="53">
      <c r="A53" s="106"/>
      <c r="B53" s="106"/>
      <c r="C53" s="127"/>
      <c r="D53" s="162"/>
    </row>
    <row r="54">
      <c r="A54" s="107"/>
      <c r="B54" s="107"/>
      <c r="C54" s="107"/>
      <c r="D54" s="107"/>
      <c r="H54" s="14"/>
    </row>
    <row r="55">
      <c r="A55" s="107"/>
      <c r="B55" s="107"/>
      <c r="C55" s="107"/>
      <c r="D55" s="107"/>
      <c r="E55" s="14"/>
    </row>
    <row r="56">
      <c r="A56" s="107"/>
      <c r="B56" s="107"/>
      <c r="C56" s="107"/>
      <c r="D56" s="107"/>
    </row>
    <row r="57">
      <c r="A57" s="106"/>
      <c r="B57" s="106"/>
      <c r="C57" s="127"/>
      <c r="D57" s="162"/>
    </row>
    <row r="68">
      <c r="C68" s="8" t="s">
        <v>39</v>
      </c>
      <c r="D68" s="19">
        <f>SUM(D37:D65)</f>
        <v>20941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50000.0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75">
      <c r="A75" s="14" t="s">
        <v>445</v>
      </c>
      <c r="B75" s="14" t="s">
        <v>38</v>
      </c>
      <c r="D75" s="14">
        <v>0.0</v>
      </c>
    </row>
    <row r="82">
      <c r="D82" s="8">
        <f>SUM(D71:D76)</f>
        <v>136000</v>
      </c>
    </row>
  </sheetData>
  <mergeCells count="3">
    <mergeCell ref="A1:D1"/>
    <mergeCell ref="G13:I13"/>
    <mergeCell ref="A35:D35"/>
  </mergeCells>
  <dataValidations>
    <dataValidation type="list" allowBlank="1" showErrorMessage="1" sqref="C3:C16 C18:C21 C37:C38">
      <formula1>"Online,Cash"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10530.0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153330.0</v>
      </c>
    </row>
    <row r="3">
      <c r="A3" s="64" t="s">
        <v>417</v>
      </c>
      <c r="B3" s="64" t="s">
        <v>200</v>
      </c>
      <c r="C3" s="85" t="s">
        <v>268</v>
      </c>
      <c r="D3" s="67">
        <v>11563.0</v>
      </c>
      <c r="E3" s="162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11010.0</v>
      </c>
      <c r="E4" s="106"/>
      <c r="G4" s="68"/>
      <c r="H4" s="66" t="s">
        <v>206</v>
      </c>
      <c r="K4" s="4" t="s">
        <v>13</v>
      </c>
      <c r="L4" s="23">
        <f>L1 + L2</f>
        <v>163860</v>
      </c>
    </row>
    <row r="5">
      <c r="A5" s="64" t="s">
        <v>201</v>
      </c>
      <c r="B5" s="64" t="s">
        <v>200</v>
      </c>
      <c r="C5" s="85" t="s">
        <v>268</v>
      </c>
      <c r="D5" s="67">
        <v>7972.0</v>
      </c>
      <c r="E5" s="106"/>
      <c r="G5" s="69"/>
      <c r="H5" s="66" t="s">
        <v>7</v>
      </c>
      <c r="K5" s="39" t="s">
        <v>114</v>
      </c>
      <c r="L5" s="13">
        <f>L4 - (D32)</f>
        <v>8626</v>
      </c>
    </row>
    <row r="6">
      <c r="A6" s="106" t="s">
        <v>277</v>
      </c>
      <c r="B6" s="106" t="s">
        <v>48</v>
      </c>
      <c r="C6" s="85" t="s">
        <v>268</v>
      </c>
      <c r="D6" s="106">
        <v>25000.0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1598</v>
      </c>
    </row>
    <row r="7">
      <c r="A7" s="14" t="s">
        <v>64</v>
      </c>
      <c r="B7" s="14" t="s">
        <v>52</v>
      </c>
      <c r="C7" s="85" t="s">
        <v>268</v>
      </c>
      <c r="D7" s="14">
        <v>3135.0</v>
      </c>
      <c r="E7" s="106"/>
      <c r="G7" s="92"/>
      <c r="H7" s="66" t="s">
        <v>205</v>
      </c>
    </row>
    <row r="8">
      <c r="A8" s="64" t="s">
        <v>426</v>
      </c>
      <c r="B8" s="64" t="s">
        <v>24</v>
      </c>
      <c r="C8" s="85" t="s">
        <v>268</v>
      </c>
      <c r="D8" s="64">
        <v>1984.0</v>
      </c>
      <c r="E8" s="106"/>
      <c r="F8" s="45"/>
      <c r="G8" s="128"/>
      <c r="H8" s="66" t="s">
        <v>277</v>
      </c>
    </row>
    <row r="9">
      <c r="A9" s="111" t="s">
        <v>270</v>
      </c>
      <c r="B9" s="111" t="s">
        <v>420</v>
      </c>
      <c r="C9" s="14" t="s">
        <v>268</v>
      </c>
      <c r="D9" s="111">
        <v>2500.0</v>
      </c>
      <c r="E9" s="106"/>
      <c r="F9" s="45"/>
    </row>
    <row r="10">
      <c r="A10" s="70" t="s">
        <v>10</v>
      </c>
      <c r="B10" s="70" t="s">
        <v>140</v>
      </c>
      <c r="C10" s="14" t="s">
        <v>268</v>
      </c>
      <c r="D10" s="70">
        <v>5500.0</v>
      </c>
      <c r="E10" s="106"/>
    </row>
    <row r="11">
      <c r="A11" s="14" t="s">
        <v>206</v>
      </c>
      <c r="B11" s="70" t="s">
        <v>140</v>
      </c>
      <c r="C11" s="14" t="s">
        <v>268</v>
      </c>
      <c r="D11" s="70">
        <v>40000.0</v>
      </c>
      <c r="E11" s="106"/>
    </row>
    <row r="12">
      <c r="A12" s="14" t="s">
        <v>363</v>
      </c>
      <c r="D12" s="8">
        <f>I32</f>
        <v>2972</v>
      </c>
      <c r="E12" s="106"/>
      <c r="F12" s="45"/>
    </row>
    <row r="13">
      <c r="A13" s="79" t="s">
        <v>47</v>
      </c>
      <c r="B13" s="75" t="s">
        <v>48</v>
      </c>
      <c r="C13" s="85" t="s">
        <v>268</v>
      </c>
      <c r="D13" s="75">
        <v>4000.0</v>
      </c>
      <c r="E13" s="106"/>
      <c r="F13" s="45"/>
      <c r="G13" s="136" t="s">
        <v>405</v>
      </c>
    </row>
    <row r="14">
      <c r="A14" s="75" t="s">
        <v>7</v>
      </c>
      <c r="B14" s="75" t="s">
        <v>7</v>
      </c>
      <c r="C14" s="14" t="s">
        <v>268</v>
      </c>
      <c r="D14" s="75">
        <v>11000.0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64" t="s">
        <v>115</v>
      </c>
      <c r="B15" s="64" t="s">
        <v>116</v>
      </c>
      <c r="C15" s="14" t="s">
        <v>268</v>
      </c>
      <c r="D15" s="64">
        <v>20000.0</v>
      </c>
      <c r="E15" s="107"/>
      <c r="G15" s="14" t="s">
        <v>260</v>
      </c>
      <c r="I15" s="8">
        <f>160</f>
        <v>160</v>
      </c>
    </row>
    <row r="16">
      <c r="A16" s="64" t="s">
        <v>368</v>
      </c>
      <c r="B16" s="64" t="s">
        <v>200</v>
      </c>
      <c r="C16" s="85" t="s">
        <v>268</v>
      </c>
      <c r="D16" s="67">
        <v>7085.0</v>
      </c>
      <c r="E16" s="106"/>
      <c r="G16" s="14" t="s">
        <v>393</v>
      </c>
    </row>
    <row r="17">
      <c r="A17" s="64" t="s">
        <v>427</v>
      </c>
      <c r="B17" s="64" t="s">
        <v>24</v>
      </c>
      <c r="C17" s="85" t="s">
        <v>268</v>
      </c>
      <c r="D17" s="64">
        <v>1013.0</v>
      </c>
      <c r="E17" s="106"/>
      <c r="G17" s="14" t="s">
        <v>367</v>
      </c>
      <c r="I17" s="8">
        <f>222+310+215</f>
        <v>747</v>
      </c>
    </row>
    <row r="18">
      <c r="A18" s="75" t="s">
        <v>196</v>
      </c>
      <c r="B18" s="75" t="s">
        <v>8</v>
      </c>
      <c r="C18" s="85" t="s">
        <v>268</v>
      </c>
      <c r="D18" s="75">
        <v>500.0</v>
      </c>
      <c r="E18" s="107"/>
      <c r="G18" s="14" t="s">
        <v>369</v>
      </c>
    </row>
    <row r="19">
      <c r="E19" s="106"/>
      <c r="G19" s="14" t="s">
        <v>275</v>
      </c>
    </row>
    <row r="20">
      <c r="G20" s="14" t="s">
        <v>95</v>
      </c>
      <c r="I20" s="8">
        <f>-74</f>
        <v>-74</v>
      </c>
    </row>
    <row r="21">
      <c r="G21" s="14" t="s">
        <v>243</v>
      </c>
      <c r="I21" s="8">
        <f>42</f>
        <v>42</v>
      </c>
    </row>
    <row r="22">
      <c r="G22" s="14" t="s">
        <v>293</v>
      </c>
      <c r="I22" s="8">
        <f>10</f>
        <v>10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  <c r="I25" s="14">
        <v>1600.0</v>
      </c>
    </row>
    <row r="26">
      <c r="G26" s="106" t="s">
        <v>440</v>
      </c>
      <c r="H26" s="106"/>
      <c r="I26" s="106"/>
    </row>
    <row r="27">
      <c r="A27" s="106"/>
      <c r="B27" s="106"/>
      <c r="C27" s="85"/>
      <c r="D27" s="107"/>
      <c r="E27" s="84"/>
      <c r="G27" s="14" t="s">
        <v>328</v>
      </c>
      <c r="I27" s="14">
        <v>288.0</v>
      </c>
    </row>
    <row r="28">
      <c r="A28" s="106"/>
      <c r="B28" s="106"/>
      <c r="C28" s="85"/>
      <c r="D28" s="106"/>
      <c r="G28" s="14" t="s">
        <v>195</v>
      </c>
      <c r="I28" s="8">
        <f>199</f>
        <v>199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155234</v>
      </c>
      <c r="G32" s="33" t="s">
        <v>349</v>
      </c>
      <c r="H32" s="153"/>
      <c r="I32" s="154">
        <f>SUM(I15:I30)</f>
        <v>2972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64" t="s">
        <v>363</v>
      </c>
      <c r="B38" s="64" t="s">
        <v>52</v>
      </c>
      <c r="C38" s="8"/>
      <c r="D38" s="64">
        <f> 8000 - D12</f>
        <v>5028</v>
      </c>
      <c r="E38" s="14"/>
    </row>
    <row r="41">
      <c r="A41" s="14" t="s">
        <v>453</v>
      </c>
      <c r="B41" s="14" t="s">
        <v>52</v>
      </c>
      <c r="D41" s="14">
        <v>2000.0</v>
      </c>
    </row>
    <row r="50">
      <c r="E50" s="88"/>
    </row>
    <row r="53">
      <c r="A53" s="106"/>
      <c r="B53" s="106"/>
      <c r="C53" s="127"/>
      <c r="D53" s="162"/>
    </row>
    <row r="54">
      <c r="A54" s="107"/>
      <c r="B54" s="107"/>
      <c r="C54" s="107"/>
      <c r="D54" s="107"/>
      <c r="H54" s="14"/>
    </row>
    <row r="55">
      <c r="A55" s="107"/>
      <c r="B55" s="107"/>
      <c r="C55" s="107"/>
      <c r="D55" s="107"/>
      <c r="E55" s="14"/>
    </row>
    <row r="56">
      <c r="A56" s="107"/>
      <c r="B56" s="107"/>
      <c r="C56" s="107"/>
      <c r="D56" s="107"/>
    </row>
    <row r="57">
      <c r="A57" s="106"/>
      <c r="B57" s="106"/>
      <c r="C57" s="127"/>
      <c r="D57" s="162"/>
    </row>
    <row r="68">
      <c r="C68" s="8" t="s">
        <v>39</v>
      </c>
      <c r="D68" s="19">
        <f>SUM(D38:D65)</f>
        <v>7028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25000.0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82">
      <c r="D82" s="8">
        <f>SUM(D71:D76)</f>
        <v>111000</v>
      </c>
    </row>
  </sheetData>
  <mergeCells count="3">
    <mergeCell ref="A1:D1"/>
    <mergeCell ref="G13:I13"/>
    <mergeCell ref="A35:D35"/>
  </mergeCells>
  <dataValidations>
    <dataValidation type="list" allowBlank="1" showErrorMessage="1" sqref="C3:C11 C13:C18 C38">
      <formula1>"Online,Cash"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2704.0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162647.0</v>
      </c>
    </row>
    <row r="3">
      <c r="A3" s="64" t="s">
        <v>201</v>
      </c>
      <c r="B3" s="64" t="s">
        <v>200</v>
      </c>
      <c r="C3" s="85" t="s">
        <v>268</v>
      </c>
      <c r="D3" s="67">
        <v>18982.0</v>
      </c>
      <c r="E3" s="162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8621.0</v>
      </c>
      <c r="E4" s="106"/>
      <c r="G4" s="68"/>
      <c r="H4" s="66" t="s">
        <v>206</v>
      </c>
      <c r="K4" s="4" t="s">
        <v>13</v>
      </c>
      <c r="L4" s="23">
        <f>L1 + L2</f>
        <v>165351</v>
      </c>
    </row>
    <row r="5">
      <c r="A5" s="64" t="s">
        <v>417</v>
      </c>
      <c r="B5" s="64" t="s">
        <v>200</v>
      </c>
      <c r="C5" s="85" t="s">
        <v>268</v>
      </c>
      <c r="D5" s="67">
        <v>10099.0</v>
      </c>
      <c r="E5" s="106"/>
      <c r="G5" s="69"/>
      <c r="H5" s="66" t="s">
        <v>7</v>
      </c>
      <c r="K5" s="39" t="s">
        <v>114</v>
      </c>
      <c r="L5" s="13">
        <f>L4 - (D32)</f>
        <v>5479</v>
      </c>
    </row>
    <row r="6">
      <c r="A6" s="72" t="s">
        <v>206</v>
      </c>
      <c r="B6" s="163"/>
      <c r="C6" s="163"/>
      <c r="D6" s="72">
        <f>46150-D19</f>
        <v>31150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-2521</v>
      </c>
    </row>
    <row r="7">
      <c r="A7" s="64" t="s">
        <v>426</v>
      </c>
      <c r="B7" s="64" t="s">
        <v>24</v>
      </c>
      <c r="C7" s="85" t="s">
        <v>268</v>
      </c>
      <c r="D7" s="64">
        <v>1615.0</v>
      </c>
      <c r="E7" s="106"/>
      <c r="G7" s="92"/>
      <c r="H7" s="66" t="s">
        <v>205</v>
      </c>
    </row>
    <row r="8">
      <c r="A8" s="111" t="s">
        <v>270</v>
      </c>
      <c r="B8" s="111" t="s">
        <v>420</v>
      </c>
      <c r="C8" s="14" t="s">
        <v>268</v>
      </c>
      <c r="D8" s="111">
        <v>2500.0</v>
      </c>
      <c r="E8" s="106"/>
      <c r="F8" s="45"/>
      <c r="G8" s="128"/>
      <c r="H8" s="66" t="s">
        <v>277</v>
      </c>
    </row>
    <row r="9">
      <c r="A9" s="70" t="s">
        <v>10</v>
      </c>
      <c r="B9" s="70" t="s">
        <v>140</v>
      </c>
      <c r="C9" s="14" t="s">
        <v>268</v>
      </c>
      <c r="D9" s="70">
        <v>5500.0</v>
      </c>
      <c r="E9" s="106"/>
      <c r="F9" s="45"/>
    </row>
    <row r="10">
      <c r="A10" s="106" t="s">
        <v>277</v>
      </c>
      <c r="B10" s="106" t="s">
        <v>48</v>
      </c>
      <c r="C10" s="85" t="s">
        <v>268</v>
      </c>
      <c r="D10" s="106">
        <v>27000.0</v>
      </c>
      <c r="E10" s="106"/>
    </row>
    <row r="11">
      <c r="A11" s="79" t="s">
        <v>47</v>
      </c>
      <c r="B11" s="75" t="s">
        <v>48</v>
      </c>
      <c r="C11" s="85" t="s">
        <v>268</v>
      </c>
      <c r="D11" s="75">
        <v>4000.0</v>
      </c>
      <c r="E11" s="106"/>
    </row>
    <row r="12">
      <c r="A12" s="75" t="s">
        <v>7</v>
      </c>
      <c r="B12" s="75" t="s">
        <v>7</v>
      </c>
      <c r="C12" s="14" t="s">
        <v>268</v>
      </c>
      <c r="D12" s="75">
        <v>4000.0</v>
      </c>
      <c r="E12" s="106"/>
      <c r="F12" s="45"/>
    </row>
    <row r="13">
      <c r="A13" s="14" t="s">
        <v>64</v>
      </c>
      <c r="B13" s="14" t="s">
        <v>52</v>
      </c>
      <c r="C13" s="85" t="s">
        <v>268</v>
      </c>
      <c r="D13" s="14">
        <v>1529.0</v>
      </c>
      <c r="E13" s="106"/>
      <c r="F13" s="45"/>
      <c r="G13" s="136" t="s">
        <v>405</v>
      </c>
    </row>
    <row r="14">
      <c r="A14" s="14" t="s">
        <v>346</v>
      </c>
      <c r="B14" s="14" t="s">
        <v>52</v>
      </c>
      <c r="C14" s="85" t="s">
        <v>268</v>
      </c>
      <c r="D14" s="8">
        <f>I32</f>
        <v>182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14" t="s">
        <v>454</v>
      </c>
      <c r="B15" s="14" t="s">
        <v>94</v>
      </c>
      <c r="C15" s="85" t="s">
        <v>268</v>
      </c>
      <c r="D15" s="14">
        <v>500.0</v>
      </c>
      <c r="E15" s="107"/>
      <c r="G15" s="14" t="s">
        <v>260</v>
      </c>
    </row>
    <row r="16">
      <c r="A16" s="64" t="s">
        <v>115</v>
      </c>
      <c r="B16" s="64" t="s">
        <v>116</v>
      </c>
      <c r="C16" s="14" t="s">
        <v>268</v>
      </c>
      <c r="D16" s="64">
        <v>20000.0</v>
      </c>
      <c r="E16" s="106"/>
      <c r="G16" s="14" t="s">
        <v>393</v>
      </c>
    </row>
    <row r="17">
      <c r="A17" s="64" t="s">
        <v>368</v>
      </c>
      <c r="B17" s="64" t="s">
        <v>200</v>
      </c>
      <c r="C17" s="85" t="s">
        <v>268</v>
      </c>
      <c r="D17" s="67">
        <v>6372.0</v>
      </c>
      <c r="E17" s="106"/>
      <c r="G17" s="14" t="s">
        <v>367</v>
      </c>
    </row>
    <row r="18">
      <c r="A18" s="75" t="s">
        <v>196</v>
      </c>
      <c r="B18" s="75" t="s">
        <v>8</v>
      </c>
      <c r="C18" s="85" t="s">
        <v>268</v>
      </c>
      <c r="D18" s="75">
        <v>500.0</v>
      </c>
      <c r="E18" s="107"/>
      <c r="G18" s="14" t="s">
        <v>369</v>
      </c>
      <c r="I18" s="8">
        <f>20+27</f>
        <v>47</v>
      </c>
    </row>
    <row r="19">
      <c r="A19" s="14" t="s">
        <v>455</v>
      </c>
      <c r="D19" s="14">
        <v>15000.0</v>
      </c>
      <c r="E19" s="106"/>
      <c r="G19" s="14" t="s">
        <v>275</v>
      </c>
    </row>
    <row r="20">
      <c r="A20" s="64" t="s">
        <v>427</v>
      </c>
      <c r="B20" s="64" t="s">
        <v>24</v>
      </c>
      <c r="C20" s="85" t="s">
        <v>268</v>
      </c>
      <c r="D20" s="64">
        <v>751.0</v>
      </c>
      <c r="G20" s="14" t="s">
        <v>95</v>
      </c>
      <c r="I20" s="8">
        <f>25+110</f>
        <v>135</v>
      </c>
    </row>
    <row r="21">
      <c r="A21" s="14" t="s">
        <v>456</v>
      </c>
      <c r="D21" s="14">
        <v>1571.0</v>
      </c>
      <c r="G21" s="14" t="s">
        <v>243</v>
      </c>
    </row>
    <row r="22">
      <c r="G22" s="14" t="s">
        <v>293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G26" s="106" t="s">
        <v>440</v>
      </c>
      <c r="H26" s="106"/>
      <c r="I26" s="106"/>
    </row>
    <row r="27">
      <c r="A27" s="106"/>
      <c r="B27" s="106"/>
      <c r="C27" s="85"/>
      <c r="D27" s="107"/>
      <c r="E27" s="84"/>
      <c r="G27" s="14" t="s">
        <v>328</v>
      </c>
    </row>
    <row r="28">
      <c r="A28" s="106"/>
      <c r="B28" s="106"/>
      <c r="C28" s="85"/>
      <c r="D28" s="106"/>
      <c r="G28" s="14" t="s">
        <v>195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159872</v>
      </c>
      <c r="G32" s="33" t="s">
        <v>349</v>
      </c>
      <c r="H32" s="153"/>
      <c r="I32" s="154">
        <f>SUM(I15:I30)</f>
        <v>182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64" t="s">
        <v>363</v>
      </c>
      <c r="B38" s="64" t="s">
        <v>52</v>
      </c>
      <c r="C38" s="8"/>
      <c r="D38" s="64">
        <f> 8000</f>
        <v>8000</v>
      </c>
      <c r="E38" s="14"/>
    </row>
    <row r="50">
      <c r="E50" s="88"/>
    </row>
    <row r="54">
      <c r="H54" s="14"/>
    </row>
    <row r="55">
      <c r="A55" s="107"/>
      <c r="B55" s="107"/>
      <c r="C55" s="107"/>
      <c r="D55" s="107"/>
      <c r="E55" s="14"/>
    </row>
    <row r="56">
      <c r="A56" s="107"/>
      <c r="B56" s="107"/>
      <c r="C56" s="107"/>
      <c r="D56" s="107"/>
    </row>
    <row r="57">
      <c r="A57" s="106"/>
      <c r="B57" s="106"/>
      <c r="C57" s="127"/>
      <c r="D57" s="162"/>
    </row>
    <row r="68">
      <c r="C68" s="8" t="s">
        <v>39</v>
      </c>
      <c r="D68" s="19">
        <f>SUM(D38:D65)</f>
        <v>8000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25000.0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82">
      <c r="D82" s="8">
        <f>SUM(D71:D76)</f>
        <v>111000</v>
      </c>
    </row>
  </sheetData>
  <mergeCells count="3">
    <mergeCell ref="A1:D1"/>
    <mergeCell ref="G13:I13"/>
    <mergeCell ref="A35:D35"/>
  </mergeCells>
  <dataValidations>
    <dataValidation type="list" allowBlank="1" showErrorMessage="1" sqref="C3:C5 C7:C18 C20 C38">
      <formula1>"Online,Cash"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1895.0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262092.0</v>
      </c>
    </row>
    <row r="3">
      <c r="A3" s="64" t="s">
        <v>201</v>
      </c>
      <c r="B3" s="64" t="s">
        <v>200</v>
      </c>
      <c r="C3" s="85" t="s">
        <v>268</v>
      </c>
      <c r="D3" s="67">
        <v>48877.0</v>
      </c>
      <c r="E3" s="162"/>
      <c r="G3" s="65"/>
      <c r="H3" s="66" t="s">
        <v>269</v>
      </c>
    </row>
    <row r="4">
      <c r="A4" s="64" t="s">
        <v>416</v>
      </c>
      <c r="B4" s="64" t="s">
        <v>200</v>
      </c>
      <c r="C4" s="85" t="s">
        <v>268</v>
      </c>
      <c r="D4" s="67">
        <v>4972.0</v>
      </c>
      <c r="E4" s="106"/>
      <c r="G4" s="68"/>
      <c r="H4" s="66" t="s">
        <v>206</v>
      </c>
      <c r="K4" s="4" t="s">
        <v>13</v>
      </c>
      <c r="L4" s="23">
        <f>L1 + L2</f>
        <v>263987</v>
      </c>
    </row>
    <row r="5">
      <c r="A5" s="64" t="s">
        <v>417</v>
      </c>
      <c r="B5" s="64" t="s">
        <v>200</v>
      </c>
      <c r="C5" s="85" t="s">
        <v>268</v>
      </c>
      <c r="D5" s="67">
        <v>8777.0</v>
      </c>
      <c r="E5" s="106"/>
      <c r="G5" s="69"/>
      <c r="H5" s="66" t="s">
        <v>7</v>
      </c>
      <c r="K5" s="39" t="s">
        <v>114</v>
      </c>
      <c r="L5" s="13">
        <f>L4 - (D32)</f>
        <v>25547</v>
      </c>
    </row>
    <row r="6">
      <c r="A6" s="79" t="s">
        <v>47</v>
      </c>
      <c r="B6" s="75" t="s">
        <v>48</v>
      </c>
      <c r="C6" s="85" t="s">
        <v>268</v>
      </c>
      <c r="D6" s="75">
        <v>4000.0</v>
      </c>
      <c r="E6" s="106"/>
      <c r="G6" s="71"/>
      <c r="H6" s="66" t="s">
        <v>183</v>
      </c>
      <c r="K6" s="39" t="s">
        <v>117</v>
      </c>
      <c r="L6" s="142">
        <f>L5 - D68 + (SUMIFS(D2:D30, B2:B30, "=TEMP"))</f>
        <v>-1229</v>
      </c>
    </row>
    <row r="7">
      <c r="A7" s="75" t="s">
        <v>7</v>
      </c>
      <c r="B7" s="75" t="s">
        <v>7</v>
      </c>
      <c r="C7" s="14" t="s">
        <v>268</v>
      </c>
      <c r="D7" s="75">
        <v>6000.0</v>
      </c>
      <c r="E7" s="106"/>
      <c r="G7" s="92"/>
      <c r="H7" s="66" t="s">
        <v>205</v>
      </c>
    </row>
    <row r="8">
      <c r="A8" s="106" t="s">
        <v>277</v>
      </c>
      <c r="B8" s="106" t="s">
        <v>48</v>
      </c>
      <c r="C8" s="85" t="s">
        <v>268</v>
      </c>
      <c r="D8" s="106">
        <v>25000.0</v>
      </c>
      <c r="E8" s="106"/>
      <c r="F8" s="45"/>
      <c r="G8" s="128"/>
      <c r="H8" s="66" t="s">
        <v>277</v>
      </c>
    </row>
    <row r="9">
      <c r="A9" s="14" t="s">
        <v>457</v>
      </c>
      <c r="B9" s="106" t="s">
        <v>48</v>
      </c>
      <c r="C9" s="85" t="s">
        <v>268</v>
      </c>
      <c r="D9" s="14">
        <v>7000.0</v>
      </c>
      <c r="E9" s="106"/>
      <c r="F9" s="45"/>
    </row>
    <row r="10">
      <c r="A10" s="164" t="s">
        <v>346</v>
      </c>
      <c r="B10" s="164" t="s">
        <v>52</v>
      </c>
      <c r="C10" s="165" t="s">
        <v>268</v>
      </c>
      <c r="D10" s="166">
        <f>I32</f>
        <v>1424</v>
      </c>
      <c r="E10" s="106"/>
    </row>
    <row r="11">
      <c r="A11" s="14" t="s">
        <v>64</v>
      </c>
      <c r="B11" s="14" t="s">
        <v>52</v>
      </c>
      <c r="C11" s="85" t="s">
        <v>268</v>
      </c>
      <c r="D11" s="14">
        <v>275.0</v>
      </c>
      <c r="E11" s="106"/>
    </row>
    <row r="12">
      <c r="A12" s="14" t="s">
        <v>206</v>
      </c>
      <c r="B12" s="14" t="s">
        <v>140</v>
      </c>
      <c r="C12" s="85" t="s">
        <v>268</v>
      </c>
      <c r="D12" s="14">
        <v>77000.0</v>
      </c>
      <c r="E12" s="106"/>
      <c r="F12" s="45"/>
    </row>
    <row r="13">
      <c r="A13" s="111" t="s">
        <v>270</v>
      </c>
      <c r="B13" s="111" t="s">
        <v>420</v>
      </c>
      <c r="C13" s="14" t="s">
        <v>268</v>
      </c>
      <c r="D13" s="111">
        <v>2500.0</v>
      </c>
      <c r="E13" s="106"/>
      <c r="F13" s="45"/>
      <c r="G13" s="136" t="s">
        <v>405</v>
      </c>
    </row>
    <row r="14">
      <c r="A14" s="70" t="s">
        <v>10</v>
      </c>
      <c r="B14" s="70" t="s">
        <v>140</v>
      </c>
      <c r="C14" s="14" t="s">
        <v>268</v>
      </c>
      <c r="D14" s="70">
        <v>5500.0</v>
      </c>
      <c r="E14" s="107"/>
      <c r="G14" s="44" t="s">
        <v>364</v>
      </c>
      <c r="H14" s="44" t="s">
        <v>365</v>
      </c>
      <c r="I14" s="44" t="s">
        <v>366</v>
      </c>
      <c r="L14" s="118"/>
    </row>
    <row r="15">
      <c r="A15" s="8" t="s">
        <v>350</v>
      </c>
      <c r="B15" s="8" t="s">
        <v>38</v>
      </c>
      <c r="C15" s="85" t="s">
        <v>268</v>
      </c>
      <c r="D15" s="14">
        <v>25000.0</v>
      </c>
      <c r="E15" s="107"/>
      <c r="G15" s="14" t="s">
        <v>260</v>
      </c>
    </row>
    <row r="16">
      <c r="A16" s="64" t="s">
        <v>115</v>
      </c>
      <c r="B16" s="64" t="s">
        <v>116</v>
      </c>
      <c r="C16" s="14" t="s">
        <v>268</v>
      </c>
      <c r="D16" s="64">
        <v>20000.0</v>
      </c>
      <c r="E16" s="106"/>
      <c r="G16" s="14" t="s">
        <v>393</v>
      </c>
    </row>
    <row r="17">
      <c r="A17" s="64" t="s">
        <v>426</v>
      </c>
      <c r="B17" s="64" t="s">
        <v>24</v>
      </c>
      <c r="C17" s="85" t="s">
        <v>268</v>
      </c>
      <c r="D17" s="64">
        <v>1615.0</v>
      </c>
      <c r="E17" s="106"/>
      <c r="G17" s="14" t="s">
        <v>367</v>
      </c>
      <c r="I17" s="8">
        <f>40+243+173</f>
        <v>456</v>
      </c>
    </row>
    <row r="18">
      <c r="A18" s="75" t="s">
        <v>196</v>
      </c>
      <c r="B18" s="75" t="s">
        <v>8</v>
      </c>
      <c r="C18" s="85" t="s">
        <v>268</v>
      </c>
      <c r="D18" s="75">
        <v>500.0</v>
      </c>
      <c r="E18" s="107"/>
      <c r="G18" s="14" t="s">
        <v>369</v>
      </c>
    </row>
    <row r="19">
      <c r="E19" s="106"/>
      <c r="G19" s="14" t="s">
        <v>275</v>
      </c>
    </row>
    <row r="20">
      <c r="G20" s="14" t="s">
        <v>95</v>
      </c>
      <c r="I20" s="8">
        <f>134</f>
        <v>134</v>
      </c>
    </row>
    <row r="21">
      <c r="G21" s="14" t="s">
        <v>243</v>
      </c>
      <c r="I21" s="8">
        <f>65+55+224</f>
        <v>344</v>
      </c>
    </row>
    <row r="22">
      <c r="G22" s="14" t="s">
        <v>293</v>
      </c>
    </row>
    <row r="23">
      <c r="G23" s="14" t="s">
        <v>422</v>
      </c>
      <c r="I23" s="8">
        <f>380</f>
        <v>380</v>
      </c>
    </row>
    <row r="24">
      <c r="G24" s="14" t="s">
        <v>197</v>
      </c>
      <c r="I24" s="8">
        <f>110</f>
        <v>110</v>
      </c>
    </row>
    <row r="25">
      <c r="G25" s="14" t="s">
        <v>229</v>
      </c>
    </row>
    <row r="26">
      <c r="B26" s="107"/>
      <c r="C26" s="107"/>
      <c r="D26" s="107"/>
      <c r="G26" s="106" t="s">
        <v>440</v>
      </c>
      <c r="H26" s="106"/>
      <c r="I26" s="106"/>
    </row>
    <row r="27">
      <c r="A27" s="106"/>
      <c r="B27" s="106"/>
      <c r="C27" s="127"/>
      <c r="D27" s="107"/>
      <c r="E27" s="84"/>
      <c r="G27" s="14" t="s">
        <v>328</v>
      </c>
    </row>
    <row r="28">
      <c r="A28" s="106"/>
      <c r="B28" s="106"/>
      <c r="C28" s="127"/>
      <c r="D28" s="106"/>
      <c r="G28" s="14" t="s">
        <v>195</v>
      </c>
      <c r="K28" s="32"/>
      <c r="M28" s="50"/>
    </row>
    <row r="29">
      <c r="B29" s="107"/>
      <c r="C29" s="107"/>
      <c r="D29" s="107"/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SUM(D3:D30)</f>
        <v>238440</v>
      </c>
      <c r="G32" s="33" t="s">
        <v>349</v>
      </c>
      <c r="H32" s="153"/>
      <c r="I32" s="154">
        <f>SUM(I15:I30)</f>
        <v>1424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64" t="s">
        <v>363</v>
      </c>
      <c r="B38" s="64" t="s">
        <v>52</v>
      </c>
      <c r="C38" s="8"/>
      <c r="D38" s="64">
        <f>9000-D10</f>
        <v>7576</v>
      </c>
      <c r="E38" s="14"/>
    </row>
    <row r="39">
      <c r="A39" s="14" t="s">
        <v>458</v>
      </c>
      <c r="D39" s="14">
        <v>10000.0</v>
      </c>
    </row>
    <row r="41">
      <c r="A41" s="64" t="s">
        <v>427</v>
      </c>
      <c r="B41" s="64" t="s">
        <v>24</v>
      </c>
      <c r="C41" s="85" t="s">
        <v>268</v>
      </c>
      <c r="D41" s="64">
        <v>900.0</v>
      </c>
    </row>
    <row r="42">
      <c r="A42" s="64" t="s">
        <v>368</v>
      </c>
      <c r="B42" s="64" t="s">
        <v>200</v>
      </c>
      <c r="C42" s="85" t="s">
        <v>268</v>
      </c>
      <c r="D42" s="67">
        <v>8300.0</v>
      </c>
    </row>
    <row r="50">
      <c r="E50" s="88"/>
    </row>
    <row r="54">
      <c r="H54" s="14"/>
    </row>
    <row r="55">
      <c r="E55" s="14"/>
    </row>
    <row r="68">
      <c r="C68" s="8" t="s">
        <v>39</v>
      </c>
      <c r="D68" s="19">
        <f>SUM(D38:D65)</f>
        <v>26776</v>
      </c>
    </row>
    <row r="71">
      <c r="A71" s="14" t="s">
        <v>131</v>
      </c>
      <c r="B71" s="14" t="s">
        <v>38</v>
      </c>
      <c r="D71" s="14">
        <f>30000+16000</f>
        <v>46000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82">
      <c r="D82" s="8">
        <f>SUM(D71:D76)</f>
        <v>86000</v>
      </c>
    </row>
  </sheetData>
  <mergeCells count="3">
    <mergeCell ref="A1:D1"/>
    <mergeCell ref="G13:I13"/>
    <mergeCell ref="A35:D35"/>
  </mergeCells>
  <dataValidations>
    <dataValidation type="list" allowBlank="1" showErrorMessage="1" sqref="C3:C18 C38 C41:C42">
      <formula1>"Online,Cash"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14"/>
    <col customWidth="1" min="3" max="3" width="17.14"/>
    <col customWidth="1" min="4" max="5" width="23.0"/>
    <col customWidth="1" min="6" max="6" width="20.43"/>
    <col customWidth="1" min="7" max="7" width="18.0"/>
    <col customWidth="1" min="11" max="11" width="36.71"/>
    <col customWidth="1" min="12" max="12" width="16.86"/>
  </cols>
  <sheetData>
    <row r="1">
      <c r="A1" s="1" t="s">
        <v>0</v>
      </c>
      <c r="B1" s="2"/>
      <c r="C1" s="2"/>
      <c r="D1" s="3"/>
      <c r="E1" s="56"/>
      <c r="K1" s="4" t="s">
        <v>1</v>
      </c>
      <c r="L1" s="41">
        <v>2704.0</v>
      </c>
    </row>
    <row r="2">
      <c r="A2" s="6" t="s">
        <v>2</v>
      </c>
      <c r="B2" s="6" t="s">
        <v>3</v>
      </c>
      <c r="C2" s="6" t="s">
        <v>4</v>
      </c>
      <c r="D2" s="6" t="s">
        <v>5</v>
      </c>
      <c r="E2" s="6"/>
      <c r="G2" s="89" t="s">
        <v>214</v>
      </c>
      <c r="H2" s="89" t="s">
        <v>215</v>
      </c>
      <c r="K2" s="4" t="s">
        <v>6</v>
      </c>
      <c r="L2" s="41">
        <v>162647.0</v>
      </c>
    </row>
    <row r="3">
      <c r="E3" s="162"/>
      <c r="G3" s="65"/>
      <c r="H3" s="66" t="s">
        <v>269</v>
      </c>
    </row>
    <row r="4">
      <c r="E4" s="106"/>
      <c r="G4" s="68"/>
      <c r="H4" s="66" t="s">
        <v>206</v>
      </c>
      <c r="K4" s="4" t="s">
        <v>13</v>
      </c>
      <c r="L4" s="23">
        <f>L1 + L2</f>
        <v>165351</v>
      </c>
    </row>
    <row r="5">
      <c r="E5" s="106"/>
      <c r="G5" s="69"/>
      <c r="H5" s="66" t="s">
        <v>7</v>
      </c>
      <c r="K5" s="39" t="s">
        <v>114</v>
      </c>
      <c r="L5" s="13">
        <f>L4 - (D32)</f>
        <v>165351</v>
      </c>
    </row>
    <row r="6">
      <c r="E6" s="106"/>
      <c r="G6" s="71"/>
      <c r="H6" s="66" t="s">
        <v>183</v>
      </c>
      <c r="K6" s="39" t="s">
        <v>117</v>
      </c>
      <c r="L6" s="142">
        <f>L5 - D68 + (SUMIFS(D2:D30, B2:B30, "=TEMP"))</f>
        <v>20696</v>
      </c>
    </row>
    <row r="7">
      <c r="E7" s="106"/>
      <c r="G7" s="92"/>
      <c r="H7" s="66" t="s">
        <v>205</v>
      </c>
    </row>
    <row r="8">
      <c r="E8" s="106"/>
      <c r="F8" s="45"/>
      <c r="G8" s="128"/>
      <c r="H8" s="66" t="s">
        <v>277</v>
      </c>
    </row>
    <row r="9">
      <c r="E9" s="106"/>
      <c r="F9" s="45"/>
    </row>
    <row r="10">
      <c r="E10" s="106"/>
    </row>
    <row r="11">
      <c r="E11" s="106"/>
    </row>
    <row r="12">
      <c r="E12" s="106"/>
      <c r="F12" s="45"/>
    </row>
    <row r="13">
      <c r="E13" s="106"/>
      <c r="F13" s="45"/>
      <c r="G13" s="136" t="s">
        <v>405</v>
      </c>
    </row>
    <row r="14">
      <c r="E14" s="107"/>
      <c r="G14" s="44" t="s">
        <v>364</v>
      </c>
      <c r="H14" s="44" t="s">
        <v>365</v>
      </c>
      <c r="I14" s="44" t="s">
        <v>366</v>
      </c>
      <c r="L14" s="118"/>
    </row>
    <row r="15">
      <c r="E15" s="107"/>
      <c r="G15" s="14" t="s">
        <v>260</v>
      </c>
    </row>
    <row r="16">
      <c r="E16" s="106"/>
      <c r="G16" s="14" t="s">
        <v>393</v>
      </c>
    </row>
    <row r="17">
      <c r="E17" s="106"/>
      <c r="G17" s="14" t="s">
        <v>367</v>
      </c>
    </row>
    <row r="18">
      <c r="E18" s="107"/>
      <c r="G18" s="14" t="s">
        <v>369</v>
      </c>
      <c r="I18" s="8">
        <f>20+27</f>
        <v>47</v>
      </c>
    </row>
    <row r="19">
      <c r="E19" s="106"/>
      <c r="G19" s="14" t="s">
        <v>275</v>
      </c>
    </row>
    <row r="20">
      <c r="G20" s="14" t="s">
        <v>95</v>
      </c>
      <c r="I20" s="8">
        <f>25+110</f>
        <v>135</v>
      </c>
    </row>
    <row r="21">
      <c r="G21" s="14" t="s">
        <v>243</v>
      </c>
    </row>
    <row r="22">
      <c r="G22" s="14" t="s">
        <v>293</v>
      </c>
    </row>
    <row r="23">
      <c r="G23" s="14" t="s">
        <v>422</v>
      </c>
    </row>
    <row r="24">
      <c r="G24" s="14" t="s">
        <v>197</v>
      </c>
    </row>
    <row r="25">
      <c r="G25" s="14" t="s">
        <v>229</v>
      </c>
    </row>
    <row r="26">
      <c r="G26" s="106" t="s">
        <v>440</v>
      </c>
      <c r="H26" s="106"/>
      <c r="I26" s="106"/>
    </row>
    <row r="27">
      <c r="A27" s="106"/>
      <c r="B27" s="106"/>
      <c r="C27" s="85"/>
      <c r="D27" s="107"/>
      <c r="E27" s="84"/>
      <c r="G27" s="14" t="s">
        <v>328</v>
      </c>
    </row>
    <row r="28">
      <c r="A28" s="106"/>
      <c r="B28" s="106"/>
      <c r="C28" s="85"/>
      <c r="D28" s="106"/>
      <c r="G28" s="14" t="s">
        <v>195</v>
      </c>
      <c r="K28" s="32"/>
      <c r="M28" s="50"/>
    </row>
    <row r="29">
      <c r="K29" s="44"/>
    </row>
    <row r="30">
      <c r="A30" s="107"/>
      <c r="B30" s="107"/>
      <c r="C30" s="107"/>
      <c r="D30" s="107"/>
    </row>
    <row r="32">
      <c r="C32" s="8" t="s">
        <v>37</v>
      </c>
      <c r="D32" s="29">
        <f>SUM(D22:D30)</f>
        <v>0</v>
      </c>
      <c r="G32" s="33" t="s">
        <v>349</v>
      </c>
      <c r="H32" s="153"/>
      <c r="I32" s="154">
        <f>SUM(I15:I30)</f>
        <v>182</v>
      </c>
    </row>
    <row r="35">
      <c r="A35" s="17" t="s">
        <v>38</v>
      </c>
      <c r="B35" s="2"/>
      <c r="C35" s="2"/>
      <c r="D35" s="3"/>
      <c r="E35" s="59"/>
    </row>
    <row r="36">
      <c r="A36" s="6" t="s">
        <v>2</v>
      </c>
      <c r="B36" s="6" t="s">
        <v>3</v>
      </c>
      <c r="C36" s="6"/>
      <c r="D36" s="6" t="s">
        <v>5</v>
      </c>
      <c r="E36" s="6"/>
    </row>
    <row r="37">
      <c r="E37" s="14"/>
    </row>
    <row r="38">
      <c r="A38" s="64" t="s">
        <v>363</v>
      </c>
      <c r="B38" s="64" t="s">
        <v>52</v>
      </c>
      <c r="C38" s="8"/>
      <c r="D38" s="64">
        <f> 8000</f>
        <v>8000</v>
      </c>
      <c r="E38" s="14"/>
    </row>
    <row r="39">
      <c r="A39" s="64" t="s">
        <v>201</v>
      </c>
      <c r="B39" s="64" t="s">
        <v>200</v>
      </c>
      <c r="C39" s="85" t="s">
        <v>268</v>
      </c>
      <c r="D39" s="67">
        <v>18982.0</v>
      </c>
    </row>
    <row r="40">
      <c r="A40" s="64" t="s">
        <v>416</v>
      </c>
      <c r="B40" s="64" t="s">
        <v>200</v>
      </c>
      <c r="C40" s="85" t="s">
        <v>268</v>
      </c>
      <c r="D40" s="67">
        <v>4981.0</v>
      </c>
    </row>
    <row r="41">
      <c r="A41" s="64" t="s">
        <v>417</v>
      </c>
      <c r="B41" s="64" t="s">
        <v>200</v>
      </c>
      <c r="C41" s="85" t="s">
        <v>268</v>
      </c>
      <c r="D41" s="67">
        <v>8826.0</v>
      </c>
    </row>
    <row r="42">
      <c r="A42" s="72"/>
      <c r="B42" s="163"/>
      <c r="C42" s="163"/>
      <c r="D42" s="72"/>
    </row>
    <row r="43">
      <c r="A43" s="64" t="s">
        <v>426</v>
      </c>
      <c r="B43" s="64" t="s">
        <v>24</v>
      </c>
      <c r="C43" s="85" t="s">
        <v>268</v>
      </c>
      <c r="D43" s="64">
        <v>1615.0</v>
      </c>
    </row>
    <row r="44">
      <c r="A44" s="111" t="s">
        <v>270</v>
      </c>
      <c r="B44" s="111" t="s">
        <v>420</v>
      </c>
      <c r="C44" s="14" t="s">
        <v>268</v>
      </c>
      <c r="D44" s="111">
        <v>2500.0</v>
      </c>
    </row>
    <row r="45">
      <c r="A45" s="70" t="s">
        <v>10</v>
      </c>
      <c r="B45" s="70" t="s">
        <v>140</v>
      </c>
      <c r="C45" s="14" t="s">
        <v>268</v>
      </c>
      <c r="D45" s="70">
        <v>5500.0</v>
      </c>
    </row>
    <row r="46">
      <c r="A46" s="106" t="s">
        <v>277</v>
      </c>
      <c r="B46" s="106" t="s">
        <v>48</v>
      </c>
      <c r="C46" s="85" t="s">
        <v>268</v>
      </c>
      <c r="D46" s="106">
        <v>27000.0</v>
      </c>
    </row>
    <row r="47">
      <c r="A47" s="79" t="s">
        <v>47</v>
      </c>
      <c r="B47" s="75" t="s">
        <v>48</v>
      </c>
      <c r="C47" s="85" t="s">
        <v>268</v>
      </c>
      <c r="D47" s="75">
        <v>4000.0</v>
      </c>
    </row>
    <row r="48">
      <c r="A48" s="75" t="s">
        <v>7</v>
      </c>
      <c r="B48" s="75" t="s">
        <v>7</v>
      </c>
      <c r="C48" s="14" t="s">
        <v>268</v>
      </c>
      <c r="D48" s="75">
        <v>4000.0</v>
      </c>
    </row>
    <row r="49">
      <c r="A49" s="75" t="s">
        <v>196</v>
      </c>
      <c r="B49" s="75" t="s">
        <v>8</v>
      </c>
      <c r="C49" s="85" t="s">
        <v>268</v>
      </c>
      <c r="D49" s="75">
        <v>500.0</v>
      </c>
    </row>
    <row r="50">
      <c r="A50" s="14" t="s">
        <v>64</v>
      </c>
      <c r="B50" s="14" t="s">
        <v>52</v>
      </c>
      <c r="C50" s="85" t="s">
        <v>268</v>
      </c>
      <c r="D50" s="14">
        <v>0.0</v>
      </c>
      <c r="E50" s="88"/>
    </row>
    <row r="51">
      <c r="C51" s="85"/>
    </row>
    <row r="52">
      <c r="A52" s="64" t="s">
        <v>115</v>
      </c>
      <c r="B52" s="64" t="s">
        <v>116</v>
      </c>
      <c r="C52" s="14" t="s">
        <v>268</v>
      </c>
      <c r="D52" s="64">
        <v>51000.0</v>
      </c>
    </row>
    <row r="53">
      <c r="A53" s="64" t="s">
        <v>368</v>
      </c>
      <c r="B53" s="64" t="s">
        <v>200</v>
      </c>
      <c r="C53" s="85" t="s">
        <v>268</v>
      </c>
      <c r="D53" s="67">
        <v>7000.0</v>
      </c>
    </row>
    <row r="54">
      <c r="H54" s="14"/>
    </row>
    <row r="55">
      <c r="E55" s="14"/>
    </row>
    <row r="56">
      <c r="A56" s="64" t="s">
        <v>427</v>
      </c>
      <c r="B56" s="64" t="s">
        <v>24</v>
      </c>
      <c r="C56" s="85" t="s">
        <v>268</v>
      </c>
      <c r="D56" s="64">
        <v>751.0</v>
      </c>
    </row>
    <row r="68">
      <c r="C68" s="8" t="s">
        <v>39</v>
      </c>
      <c r="D68" s="19">
        <f>SUM(D38:D65)</f>
        <v>144655</v>
      </c>
    </row>
    <row r="71">
      <c r="A71" s="14" t="s">
        <v>131</v>
      </c>
      <c r="B71" s="14" t="s">
        <v>38</v>
      </c>
      <c r="D71" s="14">
        <f>30000+16000</f>
        <v>46000</v>
      </c>
    </row>
    <row r="72">
      <c r="A72" s="8" t="s">
        <v>350</v>
      </c>
      <c r="B72" s="8" t="s">
        <v>38</v>
      </c>
      <c r="D72" s="14">
        <v>25000.0</v>
      </c>
    </row>
    <row r="73">
      <c r="A73" s="14" t="s">
        <v>305</v>
      </c>
      <c r="B73" s="14" t="s">
        <v>38</v>
      </c>
      <c r="D73" s="14">
        <f>(50000 - ('JAN-24'!D28))</f>
        <v>40000</v>
      </c>
    </row>
    <row r="82">
      <c r="D82" s="8">
        <f>SUM(D71:D76)</f>
        <v>111000</v>
      </c>
    </row>
  </sheetData>
  <mergeCells count="3">
    <mergeCell ref="A1:D1"/>
    <mergeCell ref="G13:I13"/>
    <mergeCell ref="A35:D35"/>
  </mergeCells>
  <dataValidations>
    <dataValidation type="list" allowBlank="1" showErrorMessage="1" sqref="C38:C41 C43:C53 C56">
      <formula1>"Online,Cash"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2.43"/>
    <col customWidth="1" min="3" max="26" width="8.71"/>
  </cols>
  <sheetData>
    <row r="1">
      <c r="A1" s="8">
        <v>94000.0</v>
      </c>
    </row>
    <row r="3">
      <c r="A3" s="8" t="s">
        <v>146</v>
      </c>
      <c r="B3" s="8">
        <v>4000.0</v>
      </c>
    </row>
    <row r="4">
      <c r="A4" s="8" t="s">
        <v>229</v>
      </c>
      <c r="B4" s="8">
        <v>3000.0</v>
      </c>
    </row>
    <row r="5">
      <c r="A5" s="8" t="s">
        <v>459</v>
      </c>
      <c r="B5" s="8">
        <v>7000.0</v>
      </c>
    </row>
    <row r="6">
      <c r="A6" s="8" t="s">
        <v>460</v>
      </c>
      <c r="B6" s="8">
        <v>4000.0</v>
      </c>
    </row>
    <row r="7">
      <c r="A7" s="8" t="s">
        <v>7</v>
      </c>
      <c r="B7" s="8">
        <v>15000.0</v>
      </c>
    </row>
    <row r="8">
      <c r="A8" s="8" t="s">
        <v>461</v>
      </c>
      <c r="B8" s="8">
        <v>3000.0</v>
      </c>
    </row>
    <row r="9">
      <c r="A9" s="8" t="s">
        <v>462</v>
      </c>
      <c r="B9" s="8">
        <v>2000.0</v>
      </c>
    </row>
    <row r="12">
      <c r="A12" s="8" t="s">
        <v>463</v>
      </c>
    </row>
    <row r="13">
      <c r="A13" s="8" t="s">
        <v>464</v>
      </c>
      <c r="B13" s="8">
        <v>5000.0</v>
      </c>
    </row>
    <row r="14">
      <c r="A14" s="8" t="s">
        <v>465</v>
      </c>
      <c r="B14" s="8">
        <v>10000.0</v>
      </c>
    </row>
    <row r="15">
      <c r="A15" s="8" t="s">
        <v>466</v>
      </c>
      <c r="B15" s="8">
        <v>5000.0</v>
      </c>
      <c r="F15" s="8" t="s">
        <v>262</v>
      </c>
      <c r="G15" s="8">
        <f>SUM(B13:B24)</f>
        <v>44000</v>
      </c>
    </row>
    <row r="16">
      <c r="A16" s="8" t="s">
        <v>467</v>
      </c>
      <c r="B16" s="8">
        <v>10000.0</v>
      </c>
    </row>
    <row r="17">
      <c r="A17" s="8" t="s">
        <v>206</v>
      </c>
      <c r="B17" s="8">
        <v>6000.0</v>
      </c>
    </row>
    <row r="18">
      <c r="A18" s="8" t="s">
        <v>468</v>
      </c>
      <c r="B18" s="8">
        <v>3000.0</v>
      </c>
    </row>
    <row r="19">
      <c r="A19" s="8" t="s">
        <v>469</v>
      </c>
      <c r="B19" s="8">
        <v>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8" t="s">
        <v>73</v>
      </c>
      <c r="B26" s="167">
        <f>SUM(B3:B24)</f>
        <v>82000</v>
      </c>
    </row>
    <row r="27" ht="15.75" customHeight="1">
      <c r="A27" s="8" t="s">
        <v>470</v>
      </c>
      <c r="B27" s="8">
        <f>A1-B26</f>
        <v>12000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